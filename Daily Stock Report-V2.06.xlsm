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TSIRIZIS-H\inbox\Christos\"/>
    </mc:Choice>
  </mc:AlternateContent>
  <bookViews>
    <workbookView xWindow="270" yWindow="375" windowWidth="13620" windowHeight="7485" tabRatio="713" firstSheet="5" activeTab="6"/>
  </bookViews>
  <sheets>
    <sheet name="Sheet2" sheetId="12" state="hidden" r:id="rId1"/>
    <sheet name="Sheet3" sheetId="3" state="hidden" r:id="rId2"/>
    <sheet name="Sheet4" sheetId="4" state="hidden" r:id="rId3"/>
    <sheet name="Sheet5" sheetId="5" state="hidden" r:id="rId4"/>
    <sheet name="Sheet6" sheetId="6" state="hidden" r:id="rId5"/>
    <sheet name="Report" sheetId="16" r:id="rId6"/>
    <sheet name="Data Entry" sheetId="7" r:id="rId7"/>
    <sheet name="Module3" sheetId="10" state="veryHidden" r:id=""/>
    <sheet name="Sheet10" sheetId="15" state="hidden" r:id="rId8"/>
  </sheets>
  <functionGroups builtInGroupCount="18"/>
  <externalReferences>
    <externalReference r:id="rId9"/>
  </externalReferences>
  <definedNames>
    <definedName name="UNI_AA_VERSION" hidden="1">"320.2.3"</definedName>
    <definedName name="UNI_PRES_CLOSEST" hidden="1">512</definedName>
    <definedName name="UNI_PRES_FILTER" hidden="1">1</definedName>
    <definedName name="UNI_PRES_HEADINGS" hidden="1">16</definedName>
    <definedName name="UNI_PRES_INVERT" hidden="1">2</definedName>
    <definedName name="UNI_PRES_MATRIX" hidden="1">4</definedName>
    <definedName name="UNI_PRES_MERGED" hidden="1">8</definedName>
    <definedName name="UNI_PRES_MRECORD" hidden="1">64</definedName>
    <definedName name="UNI_PRES_MSTIME" hidden="1">8192</definedName>
    <definedName name="UNI_PRES_POST" hidden="1">256</definedName>
    <definedName name="UNI_PRES_PRIOR" hidden="1">2048</definedName>
    <definedName name="UNI_PRES_RECENT" hidden="1">1024</definedName>
    <definedName name="UNI_PRES_STATIC" hidden="1">128</definedName>
    <definedName name="UNI_PRES_TRANSPOSE" hidden="1">4096</definedName>
    <definedName name="UNI_RET_ATTRIB" hidden="1">64</definedName>
    <definedName name="UNI_RET_CONF" hidden="1">32</definedName>
    <definedName name="UNI_RET_DESC" hidden="1">4</definedName>
    <definedName name="UNI_RET_TAG" hidden="1">1</definedName>
    <definedName name="UNI_RET_TIME" hidden="1">8</definedName>
    <definedName name="UNI_RET_UNIT" hidden="1">2</definedName>
    <definedName name="UNI_RET_VALUE" hidden="1">16</definedName>
    <definedName name="UNIFORMANCES1R7C6" hidden="1">[1]CRUDE!$F$7:$F$34</definedName>
    <definedName name="UNIFORMANCES2R124C6" hidden="1">[1]LPG!$F$124:$G$132</definedName>
    <definedName name="UNIFORMANCES2R40C6" hidden="1">[1]LPG!$F$40:$F$73</definedName>
    <definedName name="UNIFORMANCES2R74C6" hidden="1">[1]LPG!$F$74:$F$93</definedName>
    <definedName name="UNIFORMANCES2R7C6" hidden="1">[1]LPG!$F$7:$F$39</definedName>
    <definedName name="UNIFORMANCES2R94C6" hidden="1">[1]LPG!$F$94:$F$123</definedName>
    <definedName name="UNIFORMANCES3R113C6" hidden="1">[1]GASOLINES!$F$113:$F$145</definedName>
    <definedName name="UNIFORMANCES3R146C6" hidden="1">[1]GASOLINES!$F$146:$F$178</definedName>
    <definedName name="UNIFORMANCES3R179C6" hidden="1">[1]GASOLINES!$F$179:$F$186</definedName>
    <definedName name="UNIFORMANCES3R45C6" hidden="1">[1]GASOLINES!$F$45:$F$79</definedName>
    <definedName name="UNIFORMANCES3R7C6" hidden="1">[1]GASOLINES!$F$7:$F$44</definedName>
    <definedName name="UNIFORMANCES3R80C6" hidden="1">[1]GASOLINES!$F$80:$G$112</definedName>
    <definedName name="UNIFORMANCES4R7C6" hidden="1">[1]JET!$F$7:$F$54</definedName>
    <definedName name="UNIFORMANCES5R122C6" hidden="1">[1]DIESEL!$F$122:$F$144</definedName>
    <definedName name="UNIFORMANCES5R145C6" hidden="1">[1]DIESEL!$F$145:$F$176</definedName>
    <definedName name="UNIFORMANCES5R177C6" hidden="1">[1]DIESEL!$F$177:$F$189</definedName>
    <definedName name="UNIFORMANCES5R190C6" hidden="1">[1]DIESEL!$F$190:$F$201</definedName>
    <definedName name="UNIFORMANCES5R202C6" hidden="1">[1]DIESEL!$F$202:$F$207</definedName>
    <definedName name="UNIFORMANCES5R50C6" hidden="1">[1]DIESEL!$F$50:$F$68</definedName>
    <definedName name="UNIFORMANCES5R7C6" hidden="1">[1]DIESEL!$F$7:$F$49</definedName>
    <definedName name="UNIFORMANCES5R95C6" hidden="1">[1]DIESEL!$F$95:$F$121</definedName>
    <definedName name="UNIFORMANCES6R10C6" hidden="1">[1]FO!$F$10:$F$29</definedName>
    <definedName name="UNIFORMANCES6R30C6" hidden="1">[1]FO!$F$30:$F$48</definedName>
    <definedName name="UNIFORMANCES6R7C6" hidden="1">[1]FO!$F$7:$F$9</definedName>
    <definedName name="UNIFORMANCES7R20C6" hidden="1">[1]SRAR.VGO.ASP!$F$20:$F$41</definedName>
    <definedName name="UNIFORMANCES7R42C6" hidden="1">[1]SRAR.VGO.ASP!$F$42:$F$65</definedName>
    <definedName name="UNIFORMANCES7R7C6" hidden="1">[1]SRAR.VGO.ASP!$F$7:$F$19</definedName>
  </definedNames>
  <calcPr calcId="152511"/>
</workbook>
</file>

<file path=xl/calcChain.xml><?xml version="1.0" encoding="utf-8"?>
<calcChain xmlns="http://schemas.openxmlformats.org/spreadsheetml/2006/main">
  <c r="D54" i="5" l="1"/>
  <c r="F1" i="3" l="1"/>
  <c r="J2" i="16" l="1"/>
  <c r="N4" i="6"/>
  <c r="B13" i="12" l="1"/>
  <c r="A56" i="5" l="1"/>
  <c r="A55" i="5"/>
  <c r="W200" i="6" l="1"/>
  <c r="V200" i="6"/>
  <c r="U200" i="6"/>
  <c r="T200" i="6"/>
  <c r="S200" i="6"/>
  <c r="R200" i="6"/>
  <c r="Q200" i="6"/>
  <c r="P200" i="6"/>
  <c r="O200" i="6"/>
  <c r="N200" i="6"/>
  <c r="W199" i="6"/>
  <c r="V199" i="6"/>
  <c r="U199" i="6"/>
  <c r="T199" i="6"/>
  <c r="S199" i="6"/>
  <c r="R199" i="6"/>
  <c r="Q199" i="6"/>
  <c r="P199" i="6"/>
  <c r="O199" i="6"/>
  <c r="N199" i="6"/>
  <c r="W198" i="6"/>
  <c r="V198" i="6"/>
  <c r="U198" i="6"/>
  <c r="T198" i="6"/>
  <c r="S198" i="6"/>
  <c r="R198" i="6"/>
  <c r="Q198" i="6"/>
  <c r="P198" i="6"/>
  <c r="O198" i="6"/>
  <c r="N198" i="6"/>
  <c r="W197" i="6"/>
  <c r="V197" i="6"/>
  <c r="U197" i="6"/>
  <c r="T197" i="6"/>
  <c r="S197" i="6"/>
  <c r="R197" i="6"/>
  <c r="Q197" i="6"/>
  <c r="P197" i="6"/>
  <c r="O197" i="6"/>
  <c r="N197" i="6"/>
  <c r="W196" i="6"/>
  <c r="V196" i="6"/>
  <c r="U196" i="6"/>
  <c r="T196" i="6"/>
  <c r="S196" i="6"/>
  <c r="R196" i="6"/>
  <c r="Q196" i="6"/>
  <c r="P196" i="6"/>
  <c r="O196" i="6"/>
  <c r="N196" i="6"/>
  <c r="W195" i="6"/>
  <c r="V195" i="6"/>
  <c r="U195" i="6"/>
  <c r="T195" i="6"/>
  <c r="S195" i="6"/>
  <c r="R195" i="6"/>
  <c r="Q195" i="6"/>
  <c r="P195" i="6"/>
  <c r="O195" i="6"/>
  <c r="N195" i="6"/>
  <c r="W194" i="6"/>
  <c r="V194" i="6"/>
  <c r="U194" i="6"/>
  <c r="T194" i="6"/>
  <c r="S194" i="6"/>
  <c r="R194" i="6"/>
  <c r="Q194" i="6"/>
  <c r="P194" i="6"/>
  <c r="O194" i="6"/>
  <c r="N194" i="6"/>
  <c r="W193" i="6"/>
  <c r="V193" i="6"/>
  <c r="U193" i="6"/>
  <c r="T193" i="6"/>
  <c r="S193" i="6"/>
  <c r="R193" i="6"/>
  <c r="Q193" i="6"/>
  <c r="P193" i="6"/>
  <c r="O193" i="6"/>
  <c r="N193" i="6"/>
  <c r="W192" i="6"/>
  <c r="V192" i="6"/>
  <c r="U192" i="6"/>
  <c r="T192" i="6"/>
  <c r="S192" i="6"/>
  <c r="R192" i="6"/>
  <c r="Q192" i="6"/>
  <c r="P192" i="6"/>
  <c r="O192" i="6"/>
  <c r="N192" i="6"/>
  <c r="W191" i="6"/>
  <c r="V191" i="6"/>
  <c r="U191" i="6"/>
  <c r="T191" i="6"/>
  <c r="S191" i="6"/>
  <c r="R191" i="6"/>
  <c r="Q191" i="6"/>
  <c r="P191" i="6"/>
  <c r="O191" i="6"/>
  <c r="N191" i="6"/>
  <c r="W190" i="6"/>
  <c r="V190" i="6"/>
  <c r="U190" i="6"/>
  <c r="T190" i="6"/>
  <c r="S190" i="6"/>
  <c r="R190" i="6"/>
  <c r="Q190" i="6"/>
  <c r="P190" i="6"/>
  <c r="O190" i="6"/>
  <c r="N190" i="6"/>
  <c r="W189" i="6"/>
  <c r="V189" i="6"/>
  <c r="U189" i="6"/>
  <c r="T189" i="6"/>
  <c r="S189" i="6"/>
  <c r="R189" i="6"/>
  <c r="Q189" i="6"/>
  <c r="P189" i="6"/>
  <c r="O189" i="6"/>
  <c r="N189" i="6"/>
  <c r="W188" i="6"/>
  <c r="V188" i="6"/>
  <c r="U188" i="6"/>
  <c r="T188" i="6"/>
  <c r="S188" i="6"/>
  <c r="R188" i="6"/>
  <c r="Q188" i="6"/>
  <c r="P188" i="6"/>
  <c r="O188" i="6"/>
  <c r="N188" i="6"/>
  <c r="W187" i="6"/>
  <c r="V187" i="6"/>
  <c r="U187" i="6"/>
  <c r="T187" i="6"/>
  <c r="S187" i="6"/>
  <c r="R187" i="6"/>
  <c r="Q187" i="6"/>
  <c r="P187" i="6"/>
  <c r="O187" i="6"/>
  <c r="N187" i="6"/>
  <c r="W186" i="6"/>
  <c r="V186" i="6"/>
  <c r="U186" i="6"/>
  <c r="T186" i="6"/>
  <c r="S186" i="6"/>
  <c r="R186" i="6"/>
  <c r="Q186" i="6"/>
  <c r="P186" i="6"/>
  <c r="O186" i="6"/>
  <c r="N186" i="6"/>
  <c r="W185" i="6"/>
  <c r="V185" i="6"/>
  <c r="U185" i="6"/>
  <c r="T185" i="6"/>
  <c r="S185" i="6"/>
  <c r="R185" i="6"/>
  <c r="Q185" i="6"/>
  <c r="P185" i="6"/>
  <c r="O185" i="6"/>
  <c r="N185" i="6"/>
  <c r="W184" i="6"/>
  <c r="V184" i="6"/>
  <c r="U184" i="6"/>
  <c r="T184" i="6"/>
  <c r="S184" i="6"/>
  <c r="R184" i="6"/>
  <c r="Q184" i="6"/>
  <c r="P184" i="6"/>
  <c r="O184" i="6"/>
  <c r="N184" i="6"/>
  <c r="W183" i="6"/>
  <c r="V183" i="6"/>
  <c r="U183" i="6"/>
  <c r="T183" i="6"/>
  <c r="S183" i="6"/>
  <c r="R183" i="6"/>
  <c r="Q183" i="6"/>
  <c r="P183" i="6"/>
  <c r="O183" i="6"/>
  <c r="N183" i="6"/>
  <c r="W182" i="6"/>
  <c r="V182" i="6"/>
  <c r="U182" i="6"/>
  <c r="T182" i="6"/>
  <c r="S182" i="6"/>
  <c r="R182" i="6"/>
  <c r="Q182" i="6"/>
  <c r="P182" i="6"/>
  <c r="O182" i="6"/>
  <c r="N182" i="6"/>
  <c r="W181" i="6"/>
  <c r="V181" i="6"/>
  <c r="U181" i="6"/>
  <c r="T181" i="6"/>
  <c r="S181" i="6"/>
  <c r="R181" i="6"/>
  <c r="Q181" i="6"/>
  <c r="P181" i="6"/>
  <c r="O181" i="6"/>
  <c r="N181" i="6"/>
  <c r="W180" i="6"/>
  <c r="V180" i="6"/>
  <c r="U180" i="6"/>
  <c r="T180" i="6"/>
  <c r="S180" i="6"/>
  <c r="R180" i="6"/>
  <c r="Q180" i="6"/>
  <c r="P180" i="6"/>
  <c r="O180" i="6"/>
  <c r="N180" i="6"/>
  <c r="W179" i="6"/>
  <c r="V179" i="6"/>
  <c r="U179" i="6"/>
  <c r="T179" i="6"/>
  <c r="S179" i="6"/>
  <c r="R179" i="6"/>
  <c r="Q179" i="6"/>
  <c r="P179" i="6"/>
  <c r="O179" i="6"/>
  <c r="N179" i="6"/>
  <c r="W178" i="6"/>
  <c r="V178" i="6"/>
  <c r="U178" i="6"/>
  <c r="T178" i="6"/>
  <c r="S178" i="6"/>
  <c r="R178" i="6"/>
  <c r="Q178" i="6"/>
  <c r="P178" i="6"/>
  <c r="O178" i="6"/>
  <c r="N178" i="6"/>
  <c r="W177" i="6"/>
  <c r="V177" i="6"/>
  <c r="U177" i="6"/>
  <c r="T177" i="6"/>
  <c r="S177" i="6"/>
  <c r="R177" i="6"/>
  <c r="Q177" i="6"/>
  <c r="P177" i="6"/>
  <c r="O177" i="6"/>
  <c r="N177" i="6"/>
  <c r="W176" i="6"/>
  <c r="V176" i="6"/>
  <c r="U176" i="6"/>
  <c r="T176" i="6"/>
  <c r="S176" i="6"/>
  <c r="R176" i="6"/>
  <c r="Q176" i="6"/>
  <c r="P176" i="6"/>
  <c r="O176" i="6"/>
  <c r="N176" i="6"/>
  <c r="W175" i="6"/>
  <c r="V175" i="6"/>
  <c r="U175" i="6"/>
  <c r="T175" i="6"/>
  <c r="S175" i="6"/>
  <c r="R175" i="6"/>
  <c r="Q175" i="6"/>
  <c r="P175" i="6"/>
  <c r="O175" i="6"/>
  <c r="N175" i="6"/>
  <c r="W174" i="6"/>
  <c r="V174" i="6"/>
  <c r="U174" i="6"/>
  <c r="T174" i="6"/>
  <c r="S174" i="6"/>
  <c r="R174" i="6"/>
  <c r="Q174" i="6"/>
  <c r="P174" i="6"/>
  <c r="O174" i="6"/>
  <c r="N174" i="6"/>
  <c r="W173" i="6"/>
  <c r="V173" i="6"/>
  <c r="U173" i="6"/>
  <c r="T173" i="6"/>
  <c r="S173" i="6"/>
  <c r="R173" i="6"/>
  <c r="Q173" i="6"/>
  <c r="P173" i="6"/>
  <c r="O173" i="6"/>
  <c r="N173" i="6"/>
  <c r="W172" i="6"/>
  <c r="V172" i="6"/>
  <c r="U172" i="6"/>
  <c r="T172" i="6"/>
  <c r="S172" i="6"/>
  <c r="R172" i="6"/>
  <c r="Q172" i="6"/>
  <c r="P172" i="6"/>
  <c r="O172" i="6"/>
  <c r="N172" i="6"/>
  <c r="W171" i="6"/>
  <c r="V171" i="6"/>
  <c r="U171" i="6"/>
  <c r="T171" i="6"/>
  <c r="S171" i="6"/>
  <c r="R171" i="6"/>
  <c r="Q171" i="6"/>
  <c r="P171" i="6"/>
  <c r="O171" i="6"/>
  <c r="N171" i="6"/>
  <c r="W170" i="6"/>
  <c r="V170" i="6"/>
  <c r="U170" i="6"/>
  <c r="T170" i="6"/>
  <c r="S170" i="6"/>
  <c r="R170" i="6"/>
  <c r="Q170" i="6"/>
  <c r="P170" i="6"/>
  <c r="O170" i="6"/>
  <c r="N170" i="6"/>
  <c r="W169" i="6"/>
  <c r="V169" i="6"/>
  <c r="U169" i="6"/>
  <c r="T169" i="6"/>
  <c r="S169" i="6"/>
  <c r="R169" i="6"/>
  <c r="Q169" i="6"/>
  <c r="P169" i="6"/>
  <c r="O169" i="6"/>
  <c r="N169" i="6"/>
  <c r="W168" i="6"/>
  <c r="V168" i="6"/>
  <c r="U168" i="6"/>
  <c r="T168" i="6"/>
  <c r="S168" i="6"/>
  <c r="R168" i="6"/>
  <c r="Q168" i="6"/>
  <c r="P168" i="6"/>
  <c r="O168" i="6"/>
  <c r="N168" i="6"/>
  <c r="W167" i="6"/>
  <c r="V167" i="6"/>
  <c r="U167" i="6"/>
  <c r="T167" i="6"/>
  <c r="S167" i="6"/>
  <c r="R167" i="6"/>
  <c r="Q167" i="6"/>
  <c r="P167" i="6"/>
  <c r="O167" i="6"/>
  <c r="N167" i="6"/>
  <c r="W166" i="6"/>
  <c r="V166" i="6"/>
  <c r="U166" i="6"/>
  <c r="T166" i="6"/>
  <c r="S166" i="6"/>
  <c r="R166" i="6"/>
  <c r="Q166" i="6"/>
  <c r="P166" i="6"/>
  <c r="O166" i="6"/>
  <c r="N166" i="6"/>
  <c r="W165" i="6"/>
  <c r="V165" i="6"/>
  <c r="U165" i="6"/>
  <c r="T165" i="6"/>
  <c r="S165" i="6"/>
  <c r="R165" i="6"/>
  <c r="Q165" i="6"/>
  <c r="P165" i="6"/>
  <c r="O165" i="6"/>
  <c r="N165" i="6"/>
  <c r="W164" i="6"/>
  <c r="V164" i="6"/>
  <c r="U164" i="6"/>
  <c r="T164" i="6"/>
  <c r="S164" i="6"/>
  <c r="R164" i="6"/>
  <c r="Q164" i="6"/>
  <c r="P164" i="6"/>
  <c r="O164" i="6"/>
  <c r="N164" i="6"/>
  <c r="W163" i="6"/>
  <c r="V163" i="6"/>
  <c r="U163" i="6"/>
  <c r="T163" i="6"/>
  <c r="S163" i="6"/>
  <c r="R163" i="6"/>
  <c r="Q163" i="6"/>
  <c r="P163" i="6"/>
  <c r="O163" i="6"/>
  <c r="N163" i="6"/>
  <c r="W162" i="6"/>
  <c r="V162" i="6"/>
  <c r="U162" i="6"/>
  <c r="T162" i="6"/>
  <c r="S162" i="6"/>
  <c r="R162" i="6"/>
  <c r="Q162" i="6"/>
  <c r="P162" i="6"/>
  <c r="O162" i="6"/>
  <c r="N162" i="6"/>
  <c r="W161" i="6"/>
  <c r="V161" i="6"/>
  <c r="U161" i="6"/>
  <c r="T161" i="6"/>
  <c r="S161" i="6"/>
  <c r="R161" i="6"/>
  <c r="Q161" i="6"/>
  <c r="P161" i="6"/>
  <c r="O161" i="6"/>
  <c r="N161" i="6"/>
  <c r="W160" i="6"/>
  <c r="V160" i="6"/>
  <c r="U160" i="6"/>
  <c r="T160" i="6"/>
  <c r="S160" i="6"/>
  <c r="R160" i="6"/>
  <c r="Q160" i="6"/>
  <c r="P160" i="6"/>
  <c r="O160" i="6"/>
  <c r="N160" i="6"/>
  <c r="W159" i="6"/>
  <c r="V159" i="6"/>
  <c r="U159" i="6"/>
  <c r="T159" i="6"/>
  <c r="S159" i="6"/>
  <c r="R159" i="6"/>
  <c r="Q159" i="6"/>
  <c r="P159" i="6"/>
  <c r="O159" i="6"/>
  <c r="N159" i="6"/>
  <c r="W158" i="6"/>
  <c r="V158" i="6"/>
  <c r="U158" i="6"/>
  <c r="T158" i="6"/>
  <c r="S158" i="6"/>
  <c r="R158" i="6"/>
  <c r="Q158" i="6"/>
  <c r="P158" i="6"/>
  <c r="O158" i="6"/>
  <c r="N158" i="6"/>
  <c r="W157" i="6"/>
  <c r="V157" i="6"/>
  <c r="U157" i="6"/>
  <c r="T157" i="6"/>
  <c r="S157" i="6"/>
  <c r="R157" i="6"/>
  <c r="Q157" i="6"/>
  <c r="P157" i="6"/>
  <c r="O157" i="6"/>
  <c r="N157" i="6"/>
  <c r="W156" i="6"/>
  <c r="V156" i="6"/>
  <c r="U156" i="6"/>
  <c r="T156" i="6"/>
  <c r="S156" i="6"/>
  <c r="R156" i="6"/>
  <c r="Q156" i="6"/>
  <c r="P156" i="6"/>
  <c r="O156" i="6"/>
  <c r="N156" i="6"/>
  <c r="W155" i="6"/>
  <c r="V155" i="6"/>
  <c r="U155" i="6"/>
  <c r="T155" i="6"/>
  <c r="S155" i="6"/>
  <c r="R155" i="6"/>
  <c r="Q155" i="6"/>
  <c r="P155" i="6"/>
  <c r="O155" i="6"/>
  <c r="N155" i="6"/>
  <c r="W154" i="6"/>
  <c r="V154" i="6"/>
  <c r="U154" i="6"/>
  <c r="T154" i="6"/>
  <c r="S154" i="6"/>
  <c r="R154" i="6"/>
  <c r="Q154" i="6"/>
  <c r="P154" i="6"/>
  <c r="O154" i="6"/>
  <c r="N154" i="6"/>
  <c r="W153" i="6"/>
  <c r="V153" i="6"/>
  <c r="U153" i="6"/>
  <c r="T153" i="6"/>
  <c r="S153" i="6"/>
  <c r="R153" i="6"/>
  <c r="Q153" i="6"/>
  <c r="P153" i="6"/>
  <c r="O153" i="6"/>
  <c r="N153" i="6"/>
  <c r="W152" i="6"/>
  <c r="V152" i="6"/>
  <c r="U152" i="6"/>
  <c r="T152" i="6"/>
  <c r="S152" i="6"/>
  <c r="R152" i="6"/>
  <c r="Q152" i="6"/>
  <c r="P152" i="6"/>
  <c r="O152" i="6"/>
  <c r="N152" i="6"/>
  <c r="W151" i="6"/>
  <c r="V151" i="6"/>
  <c r="U151" i="6"/>
  <c r="T151" i="6"/>
  <c r="S151" i="6"/>
  <c r="R151" i="6"/>
  <c r="Q151" i="6"/>
  <c r="P151" i="6"/>
  <c r="O151" i="6"/>
  <c r="N151" i="6"/>
  <c r="W150" i="6"/>
  <c r="V150" i="6"/>
  <c r="U150" i="6"/>
  <c r="T150" i="6"/>
  <c r="S150" i="6"/>
  <c r="R150" i="6"/>
  <c r="Q150" i="6"/>
  <c r="P150" i="6"/>
  <c r="O150" i="6"/>
  <c r="N150" i="6"/>
  <c r="W149" i="6"/>
  <c r="V149" i="6"/>
  <c r="U149" i="6"/>
  <c r="T149" i="6"/>
  <c r="S149" i="6"/>
  <c r="R149" i="6"/>
  <c r="Q149" i="6"/>
  <c r="P149" i="6"/>
  <c r="O149" i="6"/>
  <c r="N149" i="6"/>
  <c r="K149" i="6"/>
  <c r="W148" i="6"/>
  <c r="V148" i="6"/>
  <c r="U148" i="6"/>
  <c r="T148" i="6"/>
  <c r="S148" i="6"/>
  <c r="R148" i="6"/>
  <c r="Q148" i="6"/>
  <c r="P148" i="6"/>
  <c r="O148" i="6"/>
  <c r="N148" i="6"/>
  <c r="K148" i="6"/>
  <c r="W147" i="6"/>
  <c r="V147" i="6"/>
  <c r="U147" i="6"/>
  <c r="T147" i="6"/>
  <c r="S147" i="6"/>
  <c r="R147" i="6"/>
  <c r="Q147" i="6"/>
  <c r="P147" i="6"/>
  <c r="O147" i="6"/>
  <c r="N147" i="6"/>
  <c r="K147" i="6"/>
  <c r="W146" i="6"/>
  <c r="V146" i="6"/>
  <c r="U146" i="6"/>
  <c r="T146" i="6"/>
  <c r="S146" i="6"/>
  <c r="R146" i="6"/>
  <c r="Q146" i="6"/>
  <c r="P146" i="6"/>
  <c r="O146" i="6"/>
  <c r="N146" i="6"/>
  <c r="K146" i="6"/>
  <c r="W145" i="6"/>
  <c r="V145" i="6"/>
  <c r="U145" i="6"/>
  <c r="T145" i="6"/>
  <c r="S145" i="6"/>
  <c r="R145" i="6"/>
  <c r="Q145" i="6"/>
  <c r="P145" i="6"/>
  <c r="O145" i="6"/>
  <c r="N145" i="6"/>
  <c r="K145" i="6"/>
  <c r="W144" i="6"/>
  <c r="V144" i="6"/>
  <c r="U144" i="6"/>
  <c r="T144" i="6"/>
  <c r="S144" i="6"/>
  <c r="R144" i="6"/>
  <c r="Q144" i="6"/>
  <c r="P144" i="6"/>
  <c r="O144" i="6"/>
  <c r="N144" i="6"/>
  <c r="K144" i="6"/>
  <c r="W143" i="6"/>
  <c r="V143" i="6"/>
  <c r="U143" i="6"/>
  <c r="T143" i="6"/>
  <c r="S143" i="6"/>
  <c r="R143" i="6"/>
  <c r="Q143" i="6"/>
  <c r="P143" i="6"/>
  <c r="O143" i="6"/>
  <c r="N143" i="6"/>
  <c r="K143" i="6"/>
  <c r="W142" i="6"/>
  <c r="V142" i="6"/>
  <c r="U142" i="6"/>
  <c r="T142" i="6"/>
  <c r="S142" i="6"/>
  <c r="R142" i="6"/>
  <c r="Q142" i="6"/>
  <c r="P142" i="6"/>
  <c r="O142" i="6"/>
  <c r="N142" i="6"/>
  <c r="K142" i="6"/>
  <c r="W141" i="6"/>
  <c r="V141" i="6"/>
  <c r="U141" i="6"/>
  <c r="T141" i="6"/>
  <c r="S141" i="6"/>
  <c r="R141" i="6"/>
  <c r="Q141" i="6"/>
  <c r="P141" i="6"/>
  <c r="O141" i="6"/>
  <c r="N141" i="6"/>
  <c r="K141" i="6"/>
  <c r="W140" i="6"/>
  <c r="V140" i="6"/>
  <c r="U140" i="6"/>
  <c r="T140" i="6"/>
  <c r="S140" i="6"/>
  <c r="R140" i="6"/>
  <c r="Q140" i="6"/>
  <c r="P140" i="6"/>
  <c r="O140" i="6"/>
  <c r="N140" i="6"/>
  <c r="K140" i="6"/>
  <c r="W139" i="6"/>
  <c r="V139" i="6"/>
  <c r="U139" i="6"/>
  <c r="T139" i="6"/>
  <c r="S139" i="6"/>
  <c r="R139" i="6"/>
  <c r="Q139" i="6"/>
  <c r="P139" i="6"/>
  <c r="O139" i="6"/>
  <c r="N139" i="6"/>
  <c r="K139" i="6"/>
  <c r="W138" i="6"/>
  <c r="V138" i="6"/>
  <c r="U138" i="6"/>
  <c r="T138" i="6"/>
  <c r="S138" i="6"/>
  <c r="R138" i="6"/>
  <c r="Q138" i="6"/>
  <c r="P138" i="6"/>
  <c r="O138" i="6"/>
  <c r="N138" i="6"/>
  <c r="K138" i="6"/>
  <c r="W137" i="6"/>
  <c r="V137" i="6"/>
  <c r="U137" i="6"/>
  <c r="T137" i="6"/>
  <c r="S137" i="6"/>
  <c r="R137" i="6"/>
  <c r="Q137" i="6"/>
  <c r="P137" i="6"/>
  <c r="O137" i="6"/>
  <c r="N137" i="6"/>
  <c r="K137" i="6"/>
  <c r="W136" i="6"/>
  <c r="V136" i="6"/>
  <c r="U136" i="6"/>
  <c r="T136" i="6"/>
  <c r="S136" i="6"/>
  <c r="R136" i="6"/>
  <c r="Q136" i="6"/>
  <c r="P136" i="6"/>
  <c r="O136" i="6"/>
  <c r="N136" i="6"/>
  <c r="K136" i="6"/>
  <c r="W135" i="6"/>
  <c r="V135" i="6"/>
  <c r="U135" i="6"/>
  <c r="T135" i="6"/>
  <c r="S135" i="6"/>
  <c r="R135" i="6"/>
  <c r="Q135" i="6"/>
  <c r="P135" i="6"/>
  <c r="O135" i="6"/>
  <c r="N135" i="6"/>
  <c r="K135" i="6"/>
  <c r="W134" i="6"/>
  <c r="V134" i="6"/>
  <c r="U134" i="6"/>
  <c r="T134" i="6"/>
  <c r="S134" i="6"/>
  <c r="R134" i="6"/>
  <c r="Q134" i="6"/>
  <c r="P134" i="6"/>
  <c r="O134" i="6"/>
  <c r="N134" i="6"/>
  <c r="K134" i="6"/>
  <c r="W133" i="6"/>
  <c r="V133" i="6"/>
  <c r="U133" i="6"/>
  <c r="T133" i="6"/>
  <c r="S133" i="6"/>
  <c r="R133" i="6"/>
  <c r="Q133" i="6"/>
  <c r="P133" i="6"/>
  <c r="O133" i="6"/>
  <c r="N133" i="6"/>
  <c r="K133" i="6"/>
  <c r="W132" i="6"/>
  <c r="V132" i="6"/>
  <c r="U132" i="6"/>
  <c r="T132" i="6"/>
  <c r="S132" i="6"/>
  <c r="R132" i="6"/>
  <c r="Q132" i="6"/>
  <c r="P132" i="6"/>
  <c r="O132" i="6"/>
  <c r="N132" i="6"/>
  <c r="K132" i="6"/>
  <c r="W131" i="6"/>
  <c r="V131" i="6"/>
  <c r="U131" i="6"/>
  <c r="T131" i="6"/>
  <c r="S131" i="6"/>
  <c r="R131" i="6"/>
  <c r="Q131" i="6"/>
  <c r="P131" i="6"/>
  <c r="O131" i="6"/>
  <c r="N131" i="6"/>
  <c r="K131" i="6"/>
  <c r="W130" i="6"/>
  <c r="V130" i="6"/>
  <c r="U130" i="6"/>
  <c r="T130" i="6"/>
  <c r="S130" i="6"/>
  <c r="R130" i="6"/>
  <c r="Q130" i="6"/>
  <c r="P130" i="6"/>
  <c r="O130" i="6"/>
  <c r="N130" i="6"/>
  <c r="K130" i="6"/>
  <c r="W129" i="6"/>
  <c r="V129" i="6"/>
  <c r="U129" i="6"/>
  <c r="T129" i="6"/>
  <c r="S129" i="6"/>
  <c r="R129" i="6"/>
  <c r="Q129" i="6"/>
  <c r="P129" i="6"/>
  <c r="O129" i="6"/>
  <c r="N129" i="6"/>
  <c r="K129" i="6"/>
  <c r="W128" i="6"/>
  <c r="V128" i="6"/>
  <c r="U128" i="6"/>
  <c r="T128" i="6"/>
  <c r="S128" i="6"/>
  <c r="R128" i="6"/>
  <c r="Q128" i="6"/>
  <c r="P128" i="6"/>
  <c r="O128" i="6"/>
  <c r="N128" i="6"/>
  <c r="K128" i="6"/>
  <c r="W127" i="6"/>
  <c r="V127" i="6"/>
  <c r="U127" i="6"/>
  <c r="T127" i="6"/>
  <c r="S127" i="6"/>
  <c r="R127" i="6"/>
  <c r="Q127" i="6"/>
  <c r="P127" i="6"/>
  <c r="O127" i="6"/>
  <c r="N127" i="6"/>
  <c r="K127" i="6"/>
  <c r="W126" i="6"/>
  <c r="V126" i="6"/>
  <c r="U126" i="6"/>
  <c r="T126" i="6"/>
  <c r="S126" i="6"/>
  <c r="R126" i="6"/>
  <c r="Q126" i="6"/>
  <c r="P126" i="6"/>
  <c r="O126" i="6"/>
  <c r="N126" i="6"/>
  <c r="K126" i="6"/>
  <c r="W125" i="6"/>
  <c r="V125" i="6"/>
  <c r="U125" i="6"/>
  <c r="T125" i="6"/>
  <c r="S125" i="6"/>
  <c r="R125" i="6"/>
  <c r="Q125" i="6"/>
  <c r="P125" i="6"/>
  <c r="O125" i="6"/>
  <c r="N125" i="6"/>
  <c r="K125" i="6"/>
  <c r="W124" i="6"/>
  <c r="V124" i="6"/>
  <c r="U124" i="6"/>
  <c r="T124" i="6"/>
  <c r="S124" i="6"/>
  <c r="R124" i="6"/>
  <c r="Q124" i="6"/>
  <c r="P124" i="6"/>
  <c r="O124" i="6"/>
  <c r="N124" i="6"/>
  <c r="K124" i="6"/>
  <c r="W123" i="6"/>
  <c r="V123" i="6"/>
  <c r="U123" i="6"/>
  <c r="T123" i="6"/>
  <c r="S123" i="6"/>
  <c r="R123" i="6"/>
  <c r="Q123" i="6"/>
  <c r="P123" i="6"/>
  <c r="O123" i="6"/>
  <c r="N123" i="6"/>
  <c r="K123" i="6"/>
  <c r="W122" i="6"/>
  <c r="V122" i="6"/>
  <c r="U122" i="6"/>
  <c r="T122" i="6"/>
  <c r="S122" i="6"/>
  <c r="R122" i="6"/>
  <c r="Q122" i="6"/>
  <c r="P122" i="6"/>
  <c r="O122" i="6"/>
  <c r="N122" i="6"/>
  <c r="K122" i="6"/>
  <c r="W121" i="6"/>
  <c r="V121" i="6"/>
  <c r="U121" i="6"/>
  <c r="T121" i="6"/>
  <c r="S121" i="6"/>
  <c r="R121" i="6"/>
  <c r="Q121" i="6"/>
  <c r="P121" i="6"/>
  <c r="O121" i="6"/>
  <c r="N121" i="6"/>
  <c r="K121" i="6"/>
  <c r="W120" i="6"/>
  <c r="V120" i="6"/>
  <c r="U120" i="6"/>
  <c r="T120" i="6"/>
  <c r="S120" i="6"/>
  <c r="R120" i="6"/>
  <c r="Q120" i="6"/>
  <c r="P120" i="6"/>
  <c r="O120" i="6"/>
  <c r="N120" i="6"/>
  <c r="K120" i="6"/>
  <c r="W119" i="6"/>
  <c r="V119" i="6"/>
  <c r="U119" i="6"/>
  <c r="T119" i="6"/>
  <c r="S119" i="6"/>
  <c r="R119" i="6"/>
  <c r="Q119" i="6"/>
  <c r="P119" i="6"/>
  <c r="O119" i="6"/>
  <c r="N119" i="6"/>
  <c r="K119" i="6"/>
  <c r="W118" i="6"/>
  <c r="V118" i="6"/>
  <c r="U118" i="6"/>
  <c r="T118" i="6"/>
  <c r="S118" i="6"/>
  <c r="R118" i="6"/>
  <c r="Q118" i="6"/>
  <c r="P118" i="6"/>
  <c r="O118" i="6"/>
  <c r="N118" i="6"/>
  <c r="K118" i="6"/>
  <c r="W117" i="6"/>
  <c r="V117" i="6"/>
  <c r="U117" i="6"/>
  <c r="T117" i="6"/>
  <c r="S117" i="6"/>
  <c r="R117" i="6"/>
  <c r="Q117" i="6"/>
  <c r="P117" i="6"/>
  <c r="O117" i="6"/>
  <c r="N117" i="6"/>
  <c r="K117" i="6"/>
  <c r="W116" i="6"/>
  <c r="V116" i="6"/>
  <c r="U116" i="6"/>
  <c r="T116" i="6"/>
  <c r="S116" i="6"/>
  <c r="R116" i="6"/>
  <c r="Q116" i="6"/>
  <c r="P116" i="6"/>
  <c r="O116" i="6"/>
  <c r="N116" i="6"/>
  <c r="K116" i="6"/>
  <c r="W115" i="6"/>
  <c r="V115" i="6"/>
  <c r="U115" i="6"/>
  <c r="T115" i="6"/>
  <c r="S115" i="6"/>
  <c r="R115" i="6"/>
  <c r="Q115" i="6"/>
  <c r="P115" i="6"/>
  <c r="O115" i="6"/>
  <c r="N115" i="6"/>
  <c r="K115" i="6"/>
  <c r="W114" i="6"/>
  <c r="V114" i="6"/>
  <c r="U114" i="6"/>
  <c r="T114" i="6"/>
  <c r="S114" i="6"/>
  <c r="R114" i="6"/>
  <c r="Q114" i="6"/>
  <c r="P114" i="6"/>
  <c r="O114" i="6"/>
  <c r="N114" i="6"/>
  <c r="K114" i="6"/>
  <c r="W113" i="6"/>
  <c r="V113" i="6"/>
  <c r="U113" i="6"/>
  <c r="T113" i="6"/>
  <c r="S113" i="6"/>
  <c r="R113" i="6"/>
  <c r="Q113" i="6"/>
  <c r="P113" i="6"/>
  <c r="O113" i="6"/>
  <c r="N113" i="6"/>
  <c r="K113" i="6"/>
  <c r="W112" i="6"/>
  <c r="V112" i="6"/>
  <c r="U112" i="6"/>
  <c r="T112" i="6"/>
  <c r="S112" i="6"/>
  <c r="R112" i="6"/>
  <c r="Q112" i="6"/>
  <c r="P112" i="6"/>
  <c r="O112" i="6"/>
  <c r="N112" i="6"/>
  <c r="K112" i="6"/>
  <c r="W111" i="6"/>
  <c r="V111" i="6"/>
  <c r="U111" i="6"/>
  <c r="T111" i="6"/>
  <c r="S111" i="6"/>
  <c r="R111" i="6"/>
  <c r="Q111" i="6"/>
  <c r="P111" i="6"/>
  <c r="O111" i="6"/>
  <c r="N111" i="6"/>
  <c r="K111" i="6"/>
  <c r="W110" i="6"/>
  <c r="V110" i="6"/>
  <c r="U110" i="6"/>
  <c r="T110" i="6"/>
  <c r="S110" i="6"/>
  <c r="R110" i="6"/>
  <c r="Q110" i="6"/>
  <c r="P110" i="6"/>
  <c r="O110" i="6"/>
  <c r="N110" i="6"/>
  <c r="K110" i="6"/>
  <c r="W109" i="6"/>
  <c r="V109" i="6"/>
  <c r="U109" i="6"/>
  <c r="T109" i="6"/>
  <c r="S109" i="6"/>
  <c r="R109" i="6"/>
  <c r="Q109" i="6"/>
  <c r="P109" i="6"/>
  <c r="O109" i="6"/>
  <c r="N109" i="6"/>
  <c r="K109" i="6"/>
  <c r="W108" i="6"/>
  <c r="V108" i="6"/>
  <c r="U108" i="6"/>
  <c r="T108" i="6"/>
  <c r="S108" i="6"/>
  <c r="R108" i="6"/>
  <c r="Q108" i="6"/>
  <c r="P108" i="6"/>
  <c r="O108" i="6"/>
  <c r="N108" i="6"/>
  <c r="K108" i="6"/>
  <c r="W107" i="6"/>
  <c r="V107" i="6"/>
  <c r="U107" i="6"/>
  <c r="T107" i="6"/>
  <c r="S107" i="6"/>
  <c r="R107" i="6"/>
  <c r="Q107" i="6"/>
  <c r="P107" i="6"/>
  <c r="O107" i="6"/>
  <c r="N107" i="6"/>
  <c r="K107" i="6"/>
  <c r="W106" i="6"/>
  <c r="V106" i="6"/>
  <c r="U106" i="6"/>
  <c r="T106" i="6"/>
  <c r="S106" i="6"/>
  <c r="R106" i="6"/>
  <c r="Q106" i="6"/>
  <c r="P106" i="6"/>
  <c r="O106" i="6"/>
  <c r="N106" i="6"/>
  <c r="K106" i="6"/>
  <c r="W105" i="6"/>
  <c r="V105" i="6"/>
  <c r="U105" i="6"/>
  <c r="T105" i="6"/>
  <c r="S105" i="6"/>
  <c r="R105" i="6"/>
  <c r="Q105" i="6"/>
  <c r="P105" i="6"/>
  <c r="O105" i="6"/>
  <c r="N105" i="6"/>
  <c r="K105" i="6"/>
  <c r="W104" i="6"/>
  <c r="V104" i="6"/>
  <c r="U104" i="6"/>
  <c r="T104" i="6"/>
  <c r="S104" i="6"/>
  <c r="R104" i="6"/>
  <c r="Q104" i="6"/>
  <c r="P104" i="6"/>
  <c r="O104" i="6"/>
  <c r="N104" i="6"/>
  <c r="K104" i="6"/>
  <c r="W103" i="6"/>
  <c r="V103" i="6"/>
  <c r="U103" i="6"/>
  <c r="T103" i="6"/>
  <c r="S103" i="6"/>
  <c r="R103" i="6"/>
  <c r="Q103" i="6"/>
  <c r="P103" i="6"/>
  <c r="O103" i="6"/>
  <c r="N103" i="6"/>
  <c r="K103" i="6"/>
  <c r="W102" i="6"/>
  <c r="V102" i="6"/>
  <c r="U102" i="6"/>
  <c r="T102" i="6"/>
  <c r="S102" i="6"/>
  <c r="R102" i="6"/>
  <c r="Q102" i="6"/>
  <c r="P102" i="6"/>
  <c r="O102" i="6"/>
  <c r="N102" i="6"/>
  <c r="K102" i="6"/>
  <c r="W101" i="6"/>
  <c r="V101" i="6"/>
  <c r="U101" i="6"/>
  <c r="T101" i="6"/>
  <c r="S101" i="6"/>
  <c r="R101" i="6"/>
  <c r="Q101" i="6"/>
  <c r="P101" i="6"/>
  <c r="O101" i="6"/>
  <c r="N101" i="6"/>
  <c r="K101" i="6"/>
  <c r="W100" i="6"/>
  <c r="V100" i="6"/>
  <c r="U100" i="6"/>
  <c r="T100" i="6"/>
  <c r="S100" i="6"/>
  <c r="R100" i="6"/>
  <c r="Q100" i="6"/>
  <c r="P100" i="6"/>
  <c r="O100" i="6"/>
  <c r="N100" i="6"/>
  <c r="K100" i="6"/>
  <c r="W99" i="6"/>
  <c r="V99" i="6"/>
  <c r="U99" i="6"/>
  <c r="T99" i="6"/>
  <c r="S99" i="6"/>
  <c r="R99" i="6"/>
  <c r="Q99" i="6"/>
  <c r="P99" i="6"/>
  <c r="O99" i="6"/>
  <c r="N99" i="6"/>
  <c r="K99" i="6"/>
  <c r="W98" i="6"/>
  <c r="V98" i="6"/>
  <c r="U98" i="6"/>
  <c r="T98" i="6"/>
  <c r="S98" i="6"/>
  <c r="R98" i="6"/>
  <c r="Q98" i="6"/>
  <c r="P98" i="6"/>
  <c r="O98" i="6"/>
  <c r="N98" i="6"/>
  <c r="K98" i="6"/>
  <c r="W97" i="6"/>
  <c r="V97" i="6"/>
  <c r="U97" i="6"/>
  <c r="T97" i="6"/>
  <c r="S97" i="6"/>
  <c r="R97" i="6"/>
  <c r="Q97" i="6"/>
  <c r="P97" i="6"/>
  <c r="O97" i="6"/>
  <c r="N97" i="6"/>
  <c r="K97" i="6"/>
  <c r="W96" i="6"/>
  <c r="V96" i="6"/>
  <c r="U96" i="6"/>
  <c r="T96" i="6"/>
  <c r="S96" i="6"/>
  <c r="R96" i="6"/>
  <c r="Q96" i="6"/>
  <c r="P96" i="6"/>
  <c r="O96" i="6"/>
  <c r="N96" i="6"/>
  <c r="K96" i="6"/>
  <c r="W95" i="6"/>
  <c r="V95" i="6"/>
  <c r="U95" i="6"/>
  <c r="T95" i="6"/>
  <c r="S95" i="6"/>
  <c r="R95" i="6"/>
  <c r="Q95" i="6"/>
  <c r="P95" i="6"/>
  <c r="O95" i="6"/>
  <c r="N95" i="6"/>
  <c r="K95" i="6"/>
  <c r="W94" i="6"/>
  <c r="V94" i="6"/>
  <c r="U94" i="6"/>
  <c r="T94" i="6"/>
  <c r="S94" i="6"/>
  <c r="R94" i="6"/>
  <c r="Q94" i="6"/>
  <c r="P94" i="6"/>
  <c r="O94" i="6"/>
  <c r="N94" i="6"/>
  <c r="K94" i="6"/>
  <c r="W93" i="6"/>
  <c r="V93" i="6"/>
  <c r="U93" i="6"/>
  <c r="T93" i="6"/>
  <c r="S93" i="6"/>
  <c r="R93" i="6"/>
  <c r="Q93" i="6"/>
  <c r="P93" i="6"/>
  <c r="O93" i="6"/>
  <c r="N93" i="6"/>
  <c r="K93" i="6"/>
  <c r="W92" i="6"/>
  <c r="V92" i="6"/>
  <c r="U92" i="6"/>
  <c r="T92" i="6"/>
  <c r="S92" i="6"/>
  <c r="R92" i="6"/>
  <c r="Q92" i="6"/>
  <c r="P92" i="6"/>
  <c r="O92" i="6"/>
  <c r="N92" i="6"/>
  <c r="K92" i="6"/>
  <c r="W91" i="6"/>
  <c r="V91" i="6"/>
  <c r="U91" i="6"/>
  <c r="T91" i="6"/>
  <c r="S91" i="6"/>
  <c r="R91" i="6"/>
  <c r="Q91" i="6"/>
  <c r="P91" i="6"/>
  <c r="O91" i="6"/>
  <c r="N91" i="6"/>
  <c r="K91" i="6"/>
  <c r="W90" i="6"/>
  <c r="V90" i="6"/>
  <c r="U90" i="6"/>
  <c r="T90" i="6"/>
  <c r="S90" i="6"/>
  <c r="R90" i="6"/>
  <c r="Q90" i="6"/>
  <c r="P90" i="6"/>
  <c r="O90" i="6"/>
  <c r="N90" i="6"/>
  <c r="K90" i="6"/>
  <c r="W89" i="6"/>
  <c r="V89" i="6"/>
  <c r="U89" i="6"/>
  <c r="T89" i="6"/>
  <c r="S89" i="6"/>
  <c r="R89" i="6"/>
  <c r="Q89" i="6"/>
  <c r="P89" i="6"/>
  <c r="O89" i="6"/>
  <c r="N89" i="6"/>
  <c r="K89" i="6"/>
  <c r="W88" i="6"/>
  <c r="V88" i="6"/>
  <c r="U88" i="6"/>
  <c r="T88" i="6"/>
  <c r="S88" i="6"/>
  <c r="R88" i="6"/>
  <c r="Q88" i="6"/>
  <c r="P88" i="6"/>
  <c r="O88" i="6"/>
  <c r="N88" i="6"/>
  <c r="K88" i="6"/>
  <c r="W87" i="6"/>
  <c r="V87" i="6"/>
  <c r="U87" i="6"/>
  <c r="T87" i="6"/>
  <c r="S87" i="6"/>
  <c r="R87" i="6"/>
  <c r="Q87" i="6"/>
  <c r="P87" i="6"/>
  <c r="O87" i="6"/>
  <c r="N87" i="6"/>
  <c r="K87" i="6"/>
  <c r="W86" i="6"/>
  <c r="V86" i="6"/>
  <c r="U86" i="6"/>
  <c r="T86" i="6"/>
  <c r="S86" i="6"/>
  <c r="R86" i="6"/>
  <c r="Q86" i="6"/>
  <c r="P86" i="6"/>
  <c r="O86" i="6"/>
  <c r="N86" i="6"/>
  <c r="K86" i="6"/>
  <c r="W85" i="6"/>
  <c r="V85" i="6"/>
  <c r="U85" i="6"/>
  <c r="T85" i="6"/>
  <c r="S85" i="6"/>
  <c r="R85" i="6"/>
  <c r="Q85" i="6"/>
  <c r="P85" i="6"/>
  <c r="O85" i="6"/>
  <c r="N85" i="6"/>
  <c r="K85" i="6"/>
  <c r="W84" i="6"/>
  <c r="V84" i="6"/>
  <c r="U84" i="6"/>
  <c r="T84" i="6"/>
  <c r="S84" i="6"/>
  <c r="R84" i="6"/>
  <c r="Q84" i="6"/>
  <c r="P84" i="6"/>
  <c r="O84" i="6"/>
  <c r="N84" i="6"/>
  <c r="K84" i="6"/>
  <c r="W83" i="6"/>
  <c r="V83" i="6"/>
  <c r="U83" i="6"/>
  <c r="T83" i="6"/>
  <c r="S83" i="6"/>
  <c r="R83" i="6"/>
  <c r="Q83" i="6"/>
  <c r="P83" i="6"/>
  <c r="O83" i="6"/>
  <c r="N83" i="6"/>
  <c r="K83" i="6"/>
  <c r="W82" i="6"/>
  <c r="V82" i="6"/>
  <c r="U82" i="6"/>
  <c r="T82" i="6"/>
  <c r="S82" i="6"/>
  <c r="R82" i="6"/>
  <c r="Q82" i="6"/>
  <c r="P82" i="6"/>
  <c r="O82" i="6"/>
  <c r="N82" i="6"/>
  <c r="K82" i="6"/>
  <c r="W81" i="6"/>
  <c r="V81" i="6"/>
  <c r="U81" i="6"/>
  <c r="T81" i="6"/>
  <c r="S81" i="6"/>
  <c r="R81" i="6"/>
  <c r="Q81" i="6"/>
  <c r="P81" i="6"/>
  <c r="O81" i="6"/>
  <c r="N81" i="6"/>
  <c r="K81" i="6"/>
  <c r="W80" i="6"/>
  <c r="V80" i="6"/>
  <c r="U80" i="6"/>
  <c r="T80" i="6"/>
  <c r="S80" i="6"/>
  <c r="R80" i="6"/>
  <c r="Q80" i="6"/>
  <c r="P80" i="6"/>
  <c r="O80" i="6"/>
  <c r="N80" i="6"/>
  <c r="K80" i="6"/>
  <c r="W79" i="6"/>
  <c r="V79" i="6"/>
  <c r="U79" i="6"/>
  <c r="T79" i="6"/>
  <c r="S79" i="6"/>
  <c r="R79" i="6"/>
  <c r="Q79" i="6"/>
  <c r="P79" i="6"/>
  <c r="O79" i="6"/>
  <c r="N79" i="6"/>
  <c r="K79" i="6"/>
  <c r="W78" i="6"/>
  <c r="V78" i="6"/>
  <c r="U78" i="6"/>
  <c r="T78" i="6"/>
  <c r="S78" i="6"/>
  <c r="R78" i="6"/>
  <c r="Q78" i="6"/>
  <c r="P78" i="6"/>
  <c r="O78" i="6"/>
  <c r="N78" i="6"/>
  <c r="K78" i="6"/>
  <c r="W77" i="6"/>
  <c r="V77" i="6"/>
  <c r="U77" i="6"/>
  <c r="T77" i="6"/>
  <c r="S77" i="6"/>
  <c r="R77" i="6"/>
  <c r="Q77" i="6"/>
  <c r="P77" i="6"/>
  <c r="O77" i="6"/>
  <c r="N77" i="6"/>
  <c r="K77" i="6"/>
  <c r="W76" i="6"/>
  <c r="V76" i="6"/>
  <c r="U76" i="6"/>
  <c r="T76" i="6"/>
  <c r="S76" i="6"/>
  <c r="R76" i="6"/>
  <c r="Q76" i="6"/>
  <c r="P76" i="6"/>
  <c r="O76" i="6"/>
  <c r="N76" i="6"/>
  <c r="K76" i="6"/>
  <c r="W75" i="6"/>
  <c r="V75" i="6"/>
  <c r="U75" i="6"/>
  <c r="T75" i="6"/>
  <c r="S75" i="6"/>
  <c r="R75" i="6"/>
  <c r="Q75" i="6"/>
  <c r="P75" i="6"/>
  <c r="O75" i="6"/>
  <c r="N75" i="6"/>
  <c r="K75" i="6"/>
  <c r="W74" i="6"/>
  <c r="V74" i="6"/>
  <c r="U74" i="6"/>
  <c r="T74" i="6"/>
  <c r="S74" i="6"/>
  <c r="R74" i="6"/>
  <c r="Q74" i="6"/>
  <c r="P74" i="6"/>
  <c r="O74" i="6"/>
  <c r="N74" i="6"/>
  <c r="K74" i="6"/>
  <c r="W73" i="6"/>
  <c r="V73" i="6"/>
  <c r="U73" i="6"/>
  <c r="T73" i="6"/>
  <c r="S73" i="6"/>
  <c r="R73" i="6"/>
  <c r="Q73" i="6"/>
  <c r="P73" i="6"/>
  <c r="O73" i="6"/>
  <c r="N73" i="6"/>
  <c r="K73" i="6"/>
  <c r="W72" i="6"/>
  <c r="V72" i="6"/>
  <c r="U72" i="6"/>
  <c r="T72" i="6"/>
  <c r="S72" i="6"/>
  <c r="R72" i="6"/>
  <c r="Q72" i="6"/>
  <c r="P72" i="6"/>
  <c r="O72" i="6"/>
  <c r="N72" i="6"/>
  <c r="K72" i="6"/>
  <c r="W71" i="6"/>
  <c r="V71" i="6"/>
  <c r="U71" i="6"/>
  <c r="T71" i="6"/>
  <c r="S71" i="6"/>
  <c r="R71" i="6"/>
  <c r="Q71" i="6"/>
  <c r="P71" i="6"/>
  <c r="O71" i="6"/>
  <c r="N71" i="6"/>
  <c r="K71" i="6"/>
  <c r="W70" i="6"/>
  <c r="V70" i="6"/>
  <c r="U70" i="6"/>
  <c r="T70" i="6"/>
  <c r="S70" i="6"/>
  <c r="R70" i="6"/>
  <c r="Q70" i="6"/>
  <c r="P70" i="6"/>
  <c r="O70" i="6"/>
  <c r="N70" i="6"/>
  <c r="K70" i="6"/>
  <c r="W69" i="6"/>
  <c r="V69" i="6"/>
  <c r="U69" i="6"/>
  <c r="T69" i="6"/>
  <c r="S69" i="6"/>
  <c r="R69" i="6"/>
  <c r="Q69" i="6"/>
  <c r="P69" i="6"/>
  <c r="O69" i="6"/>
  <c r="N69" i="6"/>
  <c r="K69" i="6"/>
  <c r="W68" i="6"/>
  <c r="V68" i="6"/>
  <c r="U68" i="6"/>
  <c r="T68" i="6"/>
  <c r="S68" i="6"/>
  <c r="R68" i="6"/>
  <c r="Q68" i="6"/>
  <c r="P68" i="6"/>
  <c r="O68" i="6"/>
  <c r="N68" i="6"/>
  <c r="K68" i="6"/>
  <c r="W67" i="6"/>
  <c r="V67" i="6"/>
  <c r="U67" i="6"/>
  <c r="T67" i="6"/>
  <c r="S67" i="6"/>
  <c r="R67" i="6"/>
  <c r="Q67" i="6"/>
  <c r="P67" i="6"/>
  <c r="O67" i="6"/>
  <c r="N67" i="6"/>
  <c r="K67" i="6"/>
  <c r="W66" i="6"/>
  <c r="V66" i="6"/>
  <c r="U66" i="6"/>
  <c r="T66" i="6"/>
  <c r="S66" i="6"/>
  <c r="R66" i="6"/>
  <c r="Q66" i="6"/>
  <c r="P66" i="6"/>
  <c r="O66" i="6"/>
  <c r="N66" i="6"/>
  <c r="K66" i="6"/>
  <c r="W65" i="6"/>
  <c r="V65" i="6"/>
  <c r="U65" i="6"/>
  <c r="T65" i="6"/>
  <c r="S65" i="6"/>
  <c r="R65" i="6"/>
  <c r="Q65" i="6"/>
  <c r="P65" i="6"/>
  <c r="O65" i="6"/>
  <c r="N65" i="6"/>
  <c r="K65" i="6"/>
  <c r="W64" i="6"/>
  <c r="V64" i="6"/>
  <c r="U64" i="6"/>
  <c r="T64" i="6"/>
  <c r="S64" i="6"/>
  <c r="R64" i="6"/>
  <c r="Q64" i="6"/>
  <c r="P64" i="6"/>
  <c r="O64" i="6"/>
  <c r="N64" i="6"/>
  <c r="K64" i="6"/>
  <c r="W63" i="6"/>
  <c r="V63" i="6"/>
  <c r="U63" i="6"/>
  <c r="T63" i="6"/>
  <c r="S63" i="6"/>
  <c r="R63" i="6"/>
  <c r="Q63" i="6"/>
  <c r="P63" i="6"/>
  <c r="O63" i="6"/>
  <c r="N63" i="6"/>
  <c r="K63" i="6"/>
  <c r="W62" i="6"/>
  <c r="V62" i="6"/>
  <c r="U62" i="6"/>
  <c r="T62" i="6"/>
  <c r="S62" i="6"/>
  <c r="R62" i="6"/>
  <c r="Q62" i="6"/>
  <c r="P62" i="6"/>
  <c r="O62" i="6"/>
  <c r="N62" i="6"/>
  <c r="K62" i="6"/>
  <c r="W61" i="6"/>
  <c r="V61" i="6"/>
  <c r="U61" i="6"/>
  <c r="T61" i="6"/>
  <c r="S61" i="6"/>
  <c r="R61" i="6"/>
  <c r="Q61" i="6"/>
  <c r="P61" i="6"/>
  <c r="O61" i="6"/>
  <c r="N61" i="6"/>
  <c r="K61" i="6"/>
  <c r="W60" i="6"/>
  <c r="V60" i="6"/>
  <c r="U60" i="6"/>
  <c r="T60" i="6"/>
  <c r="S60" i="6"/>
  <c r="R60" i="6"/>
  <c r="Q60" i="6"/>
  <c r="P60" i="6"/>
  <c r="O60" i="6"/>
  <c r="N60" i="6"/>
  <c r="K60" i="6"/>
  <c r="W59" i="6"/>
  <c r="V59" i="6"/>
  <c r="U59" i="6"/>
  <c r="T59" i="6"/>
  <c r="S59" i="6"/>
  <c r="R59" i="6"/>
  <c r="Q59" i="6"/>
  <c r="P59" i="6"/>
  <c r="O59" i="6"/>
  <c r="N59" i="6"/>
  <c r="K59" i="6"/>
  <c r="W58" i="6"/>
  <c r="V58" i="6"/>
  <c r="U58" i="6"/>
  <c r="T58" i="6"/>
  <c r="S58" i="6"/>
  <c r="R58" i="6"/>
  <c r="Q58" i="6"/>
  <c r="P58" i="6"/>
  <c r="O58" i="6"/>
  <c r="N58" i="6"/>
  <c r="K58" i="6"/>
  <c r="W57" i="6"/>
  <c r="V57" i="6"/>
  <c r="U57" i="6"/>
  <c r="T57" i="6"/>
  <c r="S57" i="6"/>
  <c r="R57" i="6"/>
  <c r="Q57" i="6"/>
  <c r="P57" i="6"/>
  <c r="O57" i="6"/>
  <c r="N57" i="6"/>
  <c r="K57" i="6"/>
  <c r="W56" i="6"/>
  <c r="V56" i="6"/>
  <c r="U56" i="6"/>
  <c r="T56" i="6"/>
  <c r="S56" i="6"/>
  <c r="R56" i="6"/>
  <c r="Q56" i="6"/>
  <c r="P56" i="6"/>
  <c r="O56" i="6"/>
  <c r="N56" i="6"/>
  <c r="K56" i="6"/>
  <c r="W55" i="6"/>
  <c r="V55" i="6"/>
  <c r="U55" i="6"/>
  <c r="T55" i="6"/>
  <c r="S55" i="6"/>
  <c r="R55" i="6"/>
  <c r="Q55" i="6"/>
  <c r="P55" i="6"/>
  <c r="O55" i="6"/>
  <c r="N55" i="6"/>
  <c r="K55" i="6"/>
  <c r="W54" i="6"/>
  <c r="V54" i="6"/>
  <c r="U54" i="6"/>
  <c r="T54" i="6"/>
  <c r="S54" i="6"/>
  <c r="R54" i="6"/>
  <c r="Q54" i="6"/>
  <c r="P54" i="6"/>
  <c r="O54" i="6"/>
  <c r="N54" i="6"/>
  <c r="K54" i="6"/>
  <c r="W53" i="6"/>
  <c r="V53" i="6"/>
  <c r="U53" i="6"/>
  <c r="T53" i="6"/>
  <c r="S53" i="6"/>
  <c r="R53" i="6"/>
  <c r="Q53" i="6"/>
  <c r="P53" i="6"/>
  <c r="O53" i="6"/>
  <c r="N53" i="6"/>
  <c r="K53" i="6"/>
  <c r="W52" i="6"/>
  <c r="V52" i="6"/>
  <c r="U52" i="6"/>
  <c r="T52" i="6"/>
  <c r="S52" i="6"/>
  <c r="R52" i="6"/>
  <c r="Q52" i="6"/>
  <c r="P52" i="6"/>
  <c r="O52" i="6"/>
  <c r="N52" i="6"/>
  <c r="K52" i="6"/>
  <c r="W51" i="6"/>
  <c r="V51" i="6"/>
  <c r="U51" i="6"/>
  <c r="T51" i="6"/>
  <c r="S51" i="6"/>
  <c r="R51" i="6"/>
  <c r="Q51" i="6"/>
  <c r="P51" i="6"/>
  <c r="O51" i="6"/>
  <c r="N51" i="6"/>
  <c r="K51" i="6"/>
  <c r="W50" i="6"/>
  <c r="V50" i="6"/>
  <c r="U50" i="6"/>
  <c r="T50" i="6"/>
  <c r="S50" i="6"/>
  <c r="R50" i="6"/>
  <c r="Q50" i="6"/>
  <c r="P50" i="6"/>
  <c r="O50" i="6"/>
  <c r="N50" i="6"/>
  <c r="K50" i="6"/>
  <c r="W49" i="6"/>
  <c r="V49" i="6"/>
  <c r="U49" i="6"/>
  <c r="T49" i="6"/>
  <c r="S49" i="6"/>
  <c r="R49" i="6"/>
  <c r="Q49" i="6"/>
  <c r="P49" i="6"/>
  <c r="O49" i="6"/>
  <c r="N49" i="6"/>
  <c r="K49" i="6"/>
  <c r="W48" i="6"/>
  <c r="V48" i="6"/>
  <c r="U48" i="6"/>
  <c r="T48" i="6"/>
  <c r="S48" i="6"/>
  <c r="R48" i="6"/>
  <c r="Q48" i="6"/>
  <c r="P48" i="6"/>
  <c r="O48" i="6"/>
  <c r="N48" i="6"/>
  <c r="K48" i="6"/>
  <c r="W47" i="6"/>
  <c r="V47" i="6"/>
  <c r="U47" i="6"/>
  <c r="T47" i="6"/>
  <c r="S47" i="6"/>
  <c r="R47" i="6"/>
  <c r="Q47" i="6"/>
  <c r="P47" i="6"/>
  <c r="O47" i="6"/>
  <c r="N47" i="6"/>
  <c r="K47" i="6"/>
  <c r="W46" i="6"/>
  <c r="V46" i="6"/>
  <c r="U46" i="6"/>
  <c r="T46" i="6"/>
  <c r="S46" i="6"/>
  <c r="R46" i="6"/>
  <c r="Q46" i="6"/>
  <c r="P46" i="6"/>
  <c r="O46" i="6"/>
  <c r="N46" i="6"/>
  <c r="K46" i="6"/>
  <c r="W45" i="6"/>
  <c r="V45" i="6"/>
  <c r="U45" i="6"/>
  <c r="T45" i="6"/>
  <c r="S45" i="6"/>
  <c r="R45" i="6"/>
  <c r="Q45" i="6"/>
  <c r="P45" i="6"/>
  <c r="O45" i="6"/>
  <c r="N45" i="6"/>
  <c r="K45" i="6"/>
  <c r="W44" i="6"/>
  <c r="V44" i="6"/>
  <c r="U44" i="6"/>
  <c r="T44" i="6"/>
  <c r="S44" i="6"/>
  <c r="R44" i="6"/>
  <c r="Q44" i="6"/>
  <c r="P44" i="6"/>
  <c r="O44" i="6"/>
  <c r="N44" i="6"/>
  <c r="K44" i="6"/>
  <c r="W43" i="6"/>
  <c r="V43" i="6"/>
  <c r="U43" i="6"/>
  <c r="T43" i="6"/>
  <c r="S43" i="6"/>
  <c r="R43" i="6"/>
  <c r="Q43" i="6"/>
  <c r="P43" i="6"/>
  <c r="O43" i="6"/>
  <c r="N43" i="6"/>
  <c r="K43" i="6"/>
  <c r="W42" i="6"/>
  <c r="V42" i="6"/>
  <c r="U42" i="6"/>
  <c r="T42" i="6"/>
  <c r="S42" i="6"/>
  <c r="R42" i="6"/>
  <c r="Q42" i="6"/>
  <c r="P42" i="6"/>
  <c r="O42" i="6"/>
  <c r="N42" i="6"/>
  <c r="K42" i="6"/>
  <c r="W41" i="6"/>
  <c r="V41" i="6"/>
  <c r="U41" i="6"/>
  <c r="T41" i="6"/>
  <c r="S41" i="6"/>
  <c r="R41" i="6"/>
  <c r="Q41" i="6"/>
  <c r="P41" i="6"/>
  <c r="O41" i="6"/>
  <c r="N41" i="6"/>
  <c r="K41" i="6"/>
  <c r="W40" i="6"/>
  <c r="V40" i="6"/>
  <c r="U40" i="6"/>
  <c r="T40" i="6"/>
  <c r="S40" i="6"/>
  <c r="R40" i="6"/>
  <c r="Q40" i="6"/>
  <c r="P40" i="6"/>
  <c r="O40" i="6"/>
  <c r="N40" i="6"/>
  <c r="K40" i="6"/>
  <c r="W39" i="6"/>
  <c r="V39" i="6"/>
  <c r="U39" i="6"/>
  <c r="T39" i="6"/>
  <c r="S39" i="6"/>
  <c r="R39" i="6"/>
  <c r="Q39" i="6"/>
  <c r="P39" i="6"/>
  <c r="O39" i="6"/>
  <c r="N39" i="6"/>
  <c r="K39" i="6"/>
  <c r="W38" i="6"/>
  <c r="V38" i="6"/>
  <c r="U38" i="6"/>
  <c r="T38" i="6"/>
  <c r="S38" i="6"/>
  <c r="R38" i="6"/>
  <c r="Q38" i="6"/>
  <c r="P38" i="6"/>
  <c r="O38" i="6"/>
  <c r="N38" i="6"/>
  <c r="K38" i="6"/>
  <c r="W37" i="6"/>
  <c r="V37" i="6"/>
  <c r="U37" i="6"/>
  <c r="T37" i="6"/>
  <c r="S37" i="6"/>
  <c r="R37" i="6"/>
  <c r="Q37" i="6"/>
  <c r="P37" i="6"/>
  <c r="O37" i="6"/>
  <c r="N37" i="6"/>
  <c r="K37" i="6"/>
  <c r="W36" i="6"/>
  <c r="V36" i="6"/>
  <c r="U36" i="6"/>
  <c r="T36" i="6"/>
  <c r="S36" i="6"/>
  <c r="R36" i="6"/>
  <c r="Q36" i="6"/>
  <c r="P36" i="6"/>
  <c r="O36" i="6"/>
  <c r="N36" i="6"/>
  <c r="K36" i="6"/>
  <c r="W35" i="6"/>
  <c r="V35" i="6"/>
  <c r="U35" i="6"/>
  <c r="T35" i="6"/>
  <c r="S35" i="6"/>
  <c r="R35" i="6"/>
  <c r="Q35" i="6"/>
  <c r="P35" i="6"/>
  <c r="O35" i="6"/>
  <c r="N35" i="6"/>
  <c r="K35" i="6"/>
  <c r="W34" i="6"/>
  <c r="V34" i="6"/>
  <c r="U34" i="6"/>
  <c r="T34" i="6"/>
  <c r="S34" i="6"/>
  <c r="R34" i="6"/>
  <c r="Q34" i="6"/>
  <c r="P34" i="6"/>
  <c r="O34" i="6"/>
  <c r="N34" i="6"/>
  <c r="K34" i="6"/>
  <c r="W33" i="6"/>
  <c r="V33" i="6"/>
  <c r="U33" i="6"/>
  <c r="T33" i="6"/>
  <c r="S33" i="6"/>
  <c r="R33" i="6"/>
  <c r="Q33" i="6"/>
  <c r="P33" i="6"/>
  <c r="O33" i="6"/>
  <c r="N33" i="6"/>
  <c r="K33" i="6"/>
  <c r="W32" i="6"/>
  <c r="V32" i="6"/>
  <c r="U32" i="6"/>
  <c r="T32" i="6"/>
  <c r="S32" i="6"/>
  <c r="R32" i="6"/>
  <c r="Q32" i="6"/>
  <c r="P32" i="6"/>
  <c r="O32" i="6"/>
  <c r="N32" i="6"/>
  <c r="K32" i="6"/>
  <c r="W31" i="6"/>
  <c r="V31" i="6"/>
  <c r="U31" i="6"/>
  <c r="T31" i="6"/>
  <c r="S31" i="6"/>
  <c r="R31" i="6"/>
  <c r="Q31" i="6"/>
  <c r="P31" i="6"/>
  <c r="O31" i="6"/>
  <c r="N31" i="6"/>
  <c r="K31" i="6"/>
  <c r="W30" i="6"/>
  <c r="V30" i="6"/>
  <c r="U30" i="6"/>
  <c r="T30" i="6"/>
  <c r="S30" i="6"/>
  <c r="R30" i="6"/>
  <c r="Q30" i="6"/>
  <c r="P30" i="6"/>
  <c r="O30" i="6"/>
  <c r="N30" i="6"/>
  <c r="K30" i="6"/>
  <c r="W29" i="6"/>
  <c r="V29" i="6"/>
  <c r="U29" i="6"/>
  <c r="T29" i="6"/>
  <c r="S29" i="6"/>
  <c r="R29" i="6"/>
  <c r="Q29" i="6"/>
  <c r="P29" i="6"/>
  <c r="O29" i="6"/>
  <c r="N29" i="6"/>
  <c r="K29" i="6"/>
  <c r="W28" i="6"/>
  <c r="V28" i="6"/>
  <c r="U28" i="6"/>
  <c r="T28" i="6"/>
  <c r="S28" i="6"/>
  <c r="R28" i="6"/>
  <c r="Q28" i="6"/>
  <c r="P28" i="6"/>
  <c r="O28" i="6"/>
  <c r="N28" i="6"/>
  <c r="K28" i="6"/>
  <c r="W27" i="6"/>
  <c r="V27" i="6"/>
  <c r="U27" i="6"/>
  <c r="T27" i="6"/>
  <c r="S27" i="6"/>
  <c r="R27" i="6"/>
  <c r="Q27" i="6"/>
  <c r="P27" i="6"/>
  <c r="O27" i="6"/>
  <c r="N27" i="6"/>
  <c r="K27" i="6"/>
  <c r="W26" i="6"/>
  <c r="V26" i="6"/>
  <c r="U26" i="6"/>
  <c r="T26" i="6"/>
  <c r="S26" i="6"/>
  <c r="R26" i="6"/>
  <c r="Q26" i="6"/>
  <c r="P26" i="6"/>
  <c r="O26" i="6"/>
  <c r="N26" i="6"/>
  <c r="K26" i="6"/>
  <c r="W25" i="6"/>
  <c r="V25" i="6"/>
  <c r="U25" i="6"/>
  <c r="T25" i="6"/>
  <c r="S25" i="6"/>
  <c r="R25" i="6"/>
  <c r="Q25" i="6"/>
  <c r="P25" i="6"/>
  <c r="O25" i="6"/>
  <c r="N25" i="6"/>
  <c r="K25" i="6"/>
  <c r="W24" i="6"/>
  <c r="V24" i="6"/>
  <c r="U24" i="6"/>
  <c r="T24" i="6"/>
  <c r="S24" i="6"/>
  <c r="R24" i="6"/>
  <c r="Q24" i="6"/>
  <c r="P24" i="6"/>
  <c r="O24" i="6"/>
  <c r="N24" i="6"/>
  <c r="K24" i="6"/>
  <c r="W23" i="6"/>
  <c r="V23" i="6"/>
  <c r="U23" i="6"/>
  <c r="T23" i="6"/>
  <c r="S23" i="6"/>
  <c r="R23" i="6"/>
  <c r="Q23" i="6"/>
  <c r="P23" i="6"/>
  <c r="O23" i="6"/>
  <c r="N23" i="6"/>
  <c r="K23" i="6"/>
  <c r="W22" i="6"/>
  <c r="V22" i="6"/>
  <c r="U22" i="6"/>
  <c r="T22" i="6"/>
  <c r="S22" i="6"/>
  <c r="R22" i="6"/>
  <c r="Q22" i="6"/>
  <c r="P22" i="6"/>
  <c r="O22" i="6"/>
  <c r="N22" i="6"/>
  <c r="K22" i="6"/>
  <c r="W21" i="6"/>
  <c r="V21" i="6"/>
  <c r="U21" i="6"/>
  <c r="T21" i="6"/>
  <c r="S21" i="6"/>
  <c r="R21" i="6"/>
  <c r="Q21" i="6"/>
  <c r="P21" i="6"/>
  <c r="O21" i="6"/>
  <c r="N21" i="6"/>
  <c r="K21" i="6"/>
  <c r="W20" i="6"/>
  <c r="V20" i="6"/>
  <c r="U20" i="6"/>
  <c r="T20" i="6"/>
  <c r="S20" i="6"/>
  <c r="R20" i="6"/>
  <c r="Q20" i="6"/>
  <c r="P20" i="6"/>
  <c r="O20" i="6"/>
  <c r="N20" i="6"/>
  <c r="K20" i="6"/>
  <c r="W19" i="6"/>
  <c r="V19" i="6"/>
  <c r="U19" i="6"/>
  <c r="T19" i="6"/>
  <c r="S19" i="6"/>
  <c r="R19" i="6"/>
  <c r="Q19" i="6"/>
  <c r="P19" i="6"/>
  <c r="O19" i="6"/>
  <c r="N19" i="6"/>
  <c r="K19" i="6"/>
  <c r="W18" i="6"/>
  <c r="V18" i="6"/>
  <c r="U18" i="6"/>
  <c r="T18" i="6"/>
  <c r="S18" i="6"/>
  <c r="R18" i="6"/>
  <c r="Q18" i="6"/>
  <c r="P18" i="6"/>
  <c r="O18" i="6"/>
  <c r="N18" i="6"/>
  <c r="K18" i="6"/>
  <c r="W17" i="6"/>
  <c r="V17" i="6"/>
  <c r="U17" i="6"/>
  <c r="T17" i="6"/>
  <c r="S17" i="6"/>
  <c r="R17" i="6"/>
  <c r="Q17" i="6"/>
  <c r="P17" i="6"/>
  <c r="O17" i="6"/>
  <c r="N17" i="6"/>
  <c r="K17" i="6"/>
  <c r="W16" i="6"/>
  <c r="V16" i="6"/>
  <c r="U16" i="6"/>
  <c r="T16" i="6"/>
  <c r="S16" i="6"/>
  <c r="R16" i="6"/>
  <c r="Q16" i="6"/>
  <c r="P16" i="6"/>
  <c r="O16" i="6"/>
  <c r="N16" i="6"/>
  <c r="K16" i="6"/>
  <c r="W15" i="6"/>
  <c r="V15" i="6"/>
  <c r="U15" i="6"/>
  <c r="T15" i="6"/>
  <c r="S15" i="6"/>
  <c r="R15" i="6"/>
  <c r="Q15" i="6"/>
  <c r="P15" i="6"/>
  <c r="O15" i="6"/>
  <c r="N15" i="6"/>
  <c r="K15" i="6"/>
  <c r="W14" i="6"/>
  <c r="V14" i="6"/>
  <c r="U14" i="6"/>
  <c r="T14" i="6"/>
  <c r="S14" i="6"/>
  <c r="R14" i="6"/>
  <c r="Q14" i="6"/>
  <c r="P14" i="6"/>
  <c r="O14" i="6"/>
  <c r="N14" i="6"/>
  <c r="K14" i="6"/>
  <c r="W13" i="6"/>
  <c r="V13" i="6"/>
  <c r="U13" i="6"/>
  <c r="T13" i="6"/>
  <c r="S13" i="6"/>
  <c r="R13" i="6"/>
  <c r="Q13" i="6"/>
  <c r="P13" i="6"/>
  <c r="O13" i="6"/>
  <c r="N13" i="6"/>
  <c r="K13" i="6"/>
  <c r="W12" i="6"/>
  <c r="V12" i="6"/>
  <c r="U12" i="6"/>
  <c r="T12" i="6"/>
  <c r="S12" i="6"/>
  <c r="R12" i="6"/>
  <c r="Q12" i="6"/>
  <c r="P12" i="6"/>
  <c r="O12" i="6"/>
  <c r="N12" i="6"/>
  <c r="K12" i="6"/>
  <c r="W11" i="6"/>
  <c r="V11" i="6"/>
  <c r="U11" i="6"/>
  <c r="T11" i="6"/>
  <c r="S11" i="6"/>
  <c r="R11" i="6"/>
  <c r="Q11" i="6"/>
  <c r="P11" i="6"/>
  <c r="O11" i="6"/>
  <c r="N11" i="6"/>
  <c r="K11" i="6"/>
  <c r="W10" i="6"/>
  <c r="V10" i="6"/>
  <c r="U10" i="6"/>
  <c r="T10" i="6"/>
  <c r="S10" i="6"/>
  <c r="R10" i="6"/>
  <c r="Q10" i="6"/>
  <c r="P10" i="6"/>
  <c r="O10" i="6"/>
  <c r="N10" i="6"/>
  <c r="K10" i="6"/>
  <c r="W9" i="6"/>
  <c r="V9" i="6"/>
  <c r="U9" i="6"/>
  <c r="T9" i="6"/>
  <c r="S9" i="6"/>
  <c r="R9" i="6"/>
  <c r="Q9" i="6"/>
  <c r="P9" i="6"/>
  <c r="O9" i="6"/>
  <c r="N9" i="6"/>
  <c r="K9" i="6"/>
  <c r="W8" i="6"/>
  <c r="V8" i="6"/>
  <c r="U8" i="6"/>
  <c r="T8" i="6"/>
  <c r="S8" i="6"/>
  <c r="R8" i="6"/>
  <c r="Q8" i="6"/>
  <c r="P8" i="6"/>
  <c r="O8" i="6"/>
  <c r="N8" i="6"/>
  <c r="K8" i="6"/>
  <c r="W7" i="6"/>
  <c r="V7" i="6"/>
  <c r="U7" i="6"/>
  <c r="T7" i="6"/>
  <c r="S7" i="6"/>
  <c r="R7" i="6"/>
  <c r="Q7" i="6"/>
  <c r="P7" i="6"/>
  <c r="O7" i="6"/>
  <c r="N7" i="6"/>
  <c r="K7" i="6"/>
  <c r="W6" i="6"/>
  <c r="V6" i="6"/>
  <c r="U6" i="6"/>
  <c r="T6" i="6"/>
  <c r="S6" i="6"/>
  <c r="R6" i="6"/>
  <c r="Q6" i="6"/>
  <c r="P6" i="6"/>
  <c r="O6" i="6"/>
  <c r="N6" i="6"/>
  <c r="K6" i="6"/>
  <c r="W5" i="6"/>
  <c r="V5" i="6"/>
  <c r="U5" i="6"/>
  <c r="T5" i="6"/>
  <c r="S5" i="6"/>
  <c r="R5" i="6"/>
  <c r="Q5" i="6"/>
  <c r="P5" i="6"/>
  <c r="O5" i="6"/>
  <c r="N5" i="6"/>
  <c r="K5" i="6"/>
  <c r="W4" i="6"/>
  <c r="V4" i="6"/>
  <c r="U4" i="6"/>
  <c r="T4" i="6"/>
  <c r="S4" i="6"/>
  <c r="R4" i="6"/>
  <c r="Q4" i="6"/>
  <c r="P4" i="6"/>
  <c r="O4" i="6"/>
  <c r="K4" i="6"/>
  <c r="W3" i="6"/>
  <c r="V3" i="6"/>
  <c r="U3" i="6"/>
  <c r="T3" i="6"/>
  <c r="S3" i="6"/>
  <c r="R3" i="6"/>
  <c r="Q3" i="6"/>
  <c r="P3" i="6"/>
  <c r="O3" i="6"/>
  <c r="N3" i="6"/>
  <c r="K3" i="6"/>
  <c r="W2" i="6"/>
  <c r="V2" i="6"/>
  <c r="U2" i="6"/>
  <c r="T2" i="6"/>
  <c r="S2" i="6"/>
  <c r="R2" i="6"/>
  <c r="Q2" i="6"/>
  <c r="P2" i="6"/>
  <c r="O2" i="6"/>
  <c r="N2" i="6"/>
  <c r="W1" i="6"/>
  <c r="V1" i="6"/>
  <c r="U1" i="6"/>
  <c r="T1" i="6"/>
  <c r="S1" i="6"/>
  <c r="R1" i="6"/>
  <c r="Q1" i="6"/>
  <c r="P1" i="6"/>
  <c r="O1" i="6"/>
  <c r="N1" i="6"/>
  <c r="F15" i="5"/>
  <c r="F14" i="5"/>
  <c r="N201" i="12"/>
  <c r="L201" i="12"/>
  <c r="F201" i="12"/>
  <c r="B201" i="12"/>
  <c r="I201" i="12" s="1"/>
  <c r="N200" i="12"/>
  <c r="L200" i="12"/>
  <c r="F200" i="12"/>
  <c r="B200" i="12"/>
  <c r="I200" i="12" s="1"/>
  <c r="N199" i="12"/>
  <c r="L199" i="12"/>
  <c r="F199" i="12"/>
  <c r="B199" i="12"/>
  <c r="I199" i="12" s="1"/>
  <c r="N198" i="12"/>
  <c r="L198" i="12"/>
  <c r="F198" i="12"/>
  <c r="B198" i="12"/>
  <c r="I198" i="12" s="1"/>
  <c r="N197" i="12"/>
  <c r="L197" i="12"/>
  <c r="F197" i="12"/>
  <c r="B197" i="12"/>
  <c r="I197" i="12" s="1"/>
  <c r="N196" i="12"/>
  <c r="L196" i="12"/>
  <c r="F196" i="12"/>
  <c r="B196" i="12"/>
  <c r="I196" i="12" s="1"/>
  <c r="N195" i="12"/>
  <c r="L195" i="12"/>
  <c r="F195" i="12"/>
  <c r="B195" i="12"/>
  <c r="I195" i="12" s="1"/>
  <c r="N194" i="12"/>
  <c r="L194" i="12"/>
  <c r="F194" i="12"/>
  <c r="B194" i="12"/>
  <c r="I194" i="12" s="1"/>
  <c r="N193" i="12"/>
  <c r="L193" i="12"/>
  <c r="F193" i="12"/>
  <c r="B193" i="12"/>
  <c r="H193" i="12" s="1"/>
  <c r="N192" i="12"/>
  <c r="L192" i="12"/>
  <c r="F192" i="12"/>
  <c r="B192" i="12"/>
  <c r="N191" i="12"/>
  <c r="L191" i="12"/>
  <c r="F191" i="12"/>
  <c r="B191" i="12"/>
  <c r="H191" i="12" s="1"/>
  <c r="N190" i="12"/>
  <c r="L190" i="12"/>
  <c r="F190" i="12"/>
  <c r="B190" i="12"/>
  <c r="N189" i="12"/>
  <c r="L189" i="12"/>
  <c r="F189" i="12"/>
  <c r="B189" i="12"/>
  <c r="H189" i="12" s="1"/>
  <c r="N188" i="12"/>
  <c r="L188" i="12"/>
  <c r="F188" i="12"/>
  <c r="B188" i="12"/>
  <c r="N187" i="12"/>
  <c r="L187" i="12"/>
  <c r="F187" i="12"/>
  <c r="B187" i="12"/>
  <c r="H187" i="12" s="1"/>
  <c r="N186" i="12"/>
  <c r="L186" i="12"/>
  <c r="F186" i="12"/>
  <c r="B186" i="12"/>
  <c r="N185" i="12"/>
  <c r="L185" i="12"/>
  <c r="F185" i="12"/>
  <c r="B185" i="12"/>
  <c r="H185" i="12" s="1"/>
  <c r="N184" i="12"/>
  <c r="L184" i="12"/>
  <c r="F184" i="12"/>
  <c r="B184" i="12"/>
  <c r="N183" i="12"/>
  <c r="L183" i="12"/>
  <c r="F183" i="12"/>
  <c r="B183" i="12"/>
  <c r="H183" i="12" s="1"/>
  <c r="N182" i="12"/>
  <c r="L182" i="12"/>
  <c r="F182" i="12"/>
  <c r="B182" i="12"/>
  <c r="N181" i="12"/>
  <c r="L181" i="12"/>
  <c r="F181" i="12"/>
  <c r="B181" i="12"/>
  <c r="H181" i="12" s="1"/>
  <c r="N180" i="12"/>
  <c r="L180" i="12"/>
  <c r="F180" i="12"/>
  <c r="B180" i="12"/>
  <c r="N179" i="12"/>
  <c r="L179" i="12"/>
  <c r="F179" i="12"/>
  <c r="B179" i="12"/>
  <c r="H179" i="12" s="1"/>
  <c r="N178" i="12"/>
  <c r="L178" i="12"/>
  <c r="F178" i="12"/>
  <c r="B178" i="12"/>
  <c r="N177" i="12"/>
  <c r="L177" i="12"/>
  <c r="F177" i="12"/>
  <c r="B177" i="12"/>
  <c r="H177" i="12" s="1"/>
  <c r="N176" i="12"/>
  <c r="L176" i="12"/>
  <c r="F176" i="12"/>
  <c r="B176" i="12"/>
  <c r="N175" i="12"/>
  <c r="L175" i="12"/>
  <c r="F175" i="12"/>
  <c r="B175" i="12"/>
  <c r="H175" i="12" s="1"/>
  <c r="N174" i="12"/>
  <c r="L174" i="12"/>
  <c r="F174" i="12"/>
  <c r="B174" i="12"/>
  <c r="N173" i="12"/>
  <c r="L173" i="12"/>
  <c r="F173" i="12"/>
  <c r="B173" i="12"/>
  <c r="H173" i="12" s="1"/>
  <c r="N172" i="12"/>
  <c r="L172" i="12"/>
  <c r="F172" i="12"/>
  <c r="B172" i="12"/>
  <c r="N171" i="12"/>
  <c r="L171" i="12"/>
  <c r="F171" i="12"/>
  <c r="B171" i="12"/>
  <c r="H171" i="12" s="1"/>
  <c r="N170" i="12"/>
  <c r="L170" i="12"/>
  <c r="F170" i="12"/>
  <c r="B170" i="12"/>
  <c r="N169" i="12"/>
  <c r="L169" i="12"/>
  <c r="F169" i="12"/>
  <c r="B169" i="12"/>
  <c r="H169" i="12" s="1"/>
  <c r="N168" i="12"/>
  <c r="L168" i="12"/>
  <c r="F168" i="12"/>
  <c r="B168" i="12"/>
  <c r="N167" i="12"/>
  <c r="L167" i="12"/>
  <c r="F167" i="12"/>
  <c r="B167" i="12"/>
  <c r="H167" i="12" s="1"/>
  <c r="N166" i="12"/>
  <c r="L166" i="12"/>
  <c r="F166" i="12"/>
  <c r="B166" i="12"/>
  <c r="N165" i="12"/>
  <c r="L165" i="12"/>
  <c r="F165" i="12"/>
  <c r="B165" i="12"/>
  <c r="H165" i="12" s="1"/>
  <c r="N164" i="12"/>
  <c r="L164" i="12"/>
  <c r="F164" i="12"/>
  <c r="B164" i="12"/>
  <c r="N163" i="12"/>
  <c r="L163" i="12"/>
  <c r="F163" i="12"/>
  <c r="B163" i="12"/>
  <c r="H163" i="12" s="1"/>
  <c r="N162" i="12"/>
  <c r="L162" i="12"/>
  <c r="F162" i="12"/>
  <c r="B162" i="12"/>
  <c r="N161" i="12"/>
  <c r="L161" i="12"/>
  <c r="F161" i="12"/>
  <c r="B161" i="12"/>
  <c r="H161" i="12" s="1"/>
  <c r="N160" i="12"/>
  <c r="L160" i="12"/>
  <c r="F160" i="12"/>
  <c r="B160" i="12"/>
  <c r="N159" i="12"/>
  <c r="L159" i="12"/>
  <c r="F159" i="12"/>
  <c r="B159" i="12"/>
  <c r="H159" i="12" s="1"/>
  <c r="N158" i="12"/>
  <c r="L158" i="12"/>
  <c r="F158" i="12"/>
  <c r="B158" i="12"/>
  <c r="N157" i="12"/>
  <c r="L157" i="12"/>
  <c r="F157" i="12"/>
  <c r="B157" i="12"/>
  <c r="H157" i="12" s="1"/>
  <c r="N156" i="12"/>
  <c r="L156" i="12"/>
  <c r="F156" i="12"/>
  <c r="B156" i="12"/>
  <c r="N155" i="12"/>
  <c r="L155" i="12"/>
  <c r="F155" i="12"/>
  <c r="B155" i="12"/>
  <c r="H155" i="12" s="1"/>
  <c r="N154" i="12"/>
  <c r="L154" i="12"/>
  <c r="F154" i="12"/>
  <c r="B154" i="12"/>
  <c r="N153" i="12"/>
  <c r="L153" i="12"/>
  <c r="F153" i="12"/>
  <c r="B153" i="12"/>
  <c r="H153" i="12" s="1"/>
  <c r="N152" i="12"/>
  <c r="L152" i="12"/>
  <c r="F152" i="12"/>
  <c r="B152" i="12"/>
  <c r="N151" i="12"/>
  <c r="F151" i="12"/>
  <c r="B151" i="12"/>
  <c r="H151" i="12" s="1"/>
  <c r="N150" i="12"/>
  <c r="F150" i="12"/>
  <c r="B150" i="12"/>
  <c r="H150" i="12" s="1"/>
  <c r="N149" i="12"/>
  <c r="F149" i="12"/>
  <c r="B149" i="12"/>
  <c r="H149" i="12" s="1"/>
  <c r="N148" i="12"/>
  <c r="L148" i="12"/>
  <c r="F148" i="12"/>
  <c r="B148" i="12"/>
  <c r="N147" i="12"/>
  <c r="F147" i="12"/>
  <c r="B147" i="12"/>
  <c r="N146" i="12"/>
  <c r="F146" i="12"/>
  <c r="B146" i="12"/>
  <c r="N145" i="12"/>
  <c r="F145" i="12"/>
  <c r="B145" i="12"/>
  <c r="N144" i="12"/>
  <c r="F144" i="12"/>
  <c r="B144" i="12"/>
  <c r="N143" i="12"/>
  <c r="F143" i="12"/>
  <c r="B143" i="12"/>
  <c r="N142" i="12"/>
  <c r="F142" i="12"/>
  <c r="B142" i="12"/>
  <c r="N141" i="12"/>
  <c r="F141" i="12"/>
  <c r="B141" i="12"/>
  <c r="N140" i="12"/>
  <c r="F140" i="12"/>
  <c r="B140" i="12"/>
  <c r="N139" i="12"/>
  <c r="F139" i="12"/>
  <c r="B139" i="12"/>
  <c r="N138" i="12"/>
  <c r="F138" i="12"/>
  <c r="B138" i="12"/>
  <c r="N137" i="12"/>
  <c r="F137" i="12"/>
  <c r="B137" i="12"/>
  <c r="N136" i="12"/>
  <c r="F136" i="12"/>
  <c r="B136" i="12"/>
  <c r="N135" i="12"/>
  <c r="F135" i="12"/>
  <c r="B135" i="12"/>
  <c r="N134" i="12"/>
  <c r="F134" i="12"/>
  <c r="B134" i="12"/>
  <c r="N133" i="12"/>
  <c r="F133" i="12"/>
  <c r="B133" i="12"/>
  <c r="N132" i="12"/>
  <c r="F132" i="12"/>
  <c r="B132" i="12"/>
  <c r="N131" i="12"/>
  <c r="F131" i="12"/>
  <c r="B131" i="12"/>
  <c r="N130" i="12"/>
  <c r="F130" i="12"/>
  <c r="B130" i="12"/>
  <c r="N129" i="12"/>
  <c r="F129" i="12"/>
  <c r="B129" i="12"/>
  <c r="N128" i="12"/>
  <c r="F128" i="12"/>
  <c r="B128" i="12"/>
  <c r="N127" i="12"/>
  <c r="F127" i="12"/>
  <c r="B127" i="12"/>
  <c r="N126" i="12"/>
  <c r="F126" i="12"/>
  <c r="B126" i="12"/>
  <c r="N125" i="12"/>
  <c r="F125" i="12"/>
  <c r="B125" i="12"/>
  <c r="N124" i="12"/>
  <c r="F124" i="12"/>
  <c r="B124" i="12"/>
  <c r="N123" i="12"/>
  <c r="F123" i="12"/>
  <c r="B123" i="12"/>
  <c r="N122" i="12"/>
  <c r="F122" i="12"/>
  <c r="B122" i="12"/>
  <c r="N121" i="12"/>
  <c r="F121" i="12"/>
  <c r="B121" i="12"/>
  <c r="N120" i="12"/>
  <c r="F120" i="12"/>
  <c r="B120" i="12"/>
  <c r="N119" i="12"/>
  <c r="F119" i="12"/>
  <c r="B119" i="12"/>
  <c r="N118" i="12"/>
  <c r="F118" i="12"/>
  <c r="B118" i="12"/>
  <c r="N117" i="12"/>
  <c r="F117" i="12"/>
  <c r="B117" i="12"/>
  <c r="N116" i="12"/>
  <c r="F116" i="12"/>
  <c r="B116" i="12"/>
  <c r="N115" i="12"/>
  <c r="F115" i="12"/>
  <c r="B115" i="12"/>
  <c r="N114" i="12"/>
  <c r="F114" i="12"/>
  <c r="B114" i="12"/>
  <c r="N113" i="12"/>
  <c r="F113" i="12"/>
  <c r="B113" i="12"/>
  <c r="N112" i="12"/>
  <c r="F112" i="12"/>
  <c r="B112" i="12"/>
  <c r="N111" i="12"/>
  <c r="F111" i="12"/>
  <c r="B111" i="12"/>
  <c r="N110" i="12"/>
  <c r="F110" i="12"/>
  <c r="B110" i="12"/>
  <c r="N109" i="12"/>
  <c r="F109" i="12"/>
  <c r="B109" i="12"/>
  <c r="N108" i="12"/>
  <c r="F108" i="12"/>
  <c r="B108" i="12"/>
  <c r="N107" i="12"/>
  <c r="F107" i="12"/>
  <c r="B107" i="12"/>
  <c r="N106" i="12"/>
  <c r="F106" i="12"/>
  <c r="B106" i="12"/>
  <c r="N105" i="12"/>
  <c r="F105" i="12"/>
  <c r="B105" i="12"/>
  <c r="N104" i="12"/>
  <c r="F104" i="12"/>
  <c r="B104" i="12"/>
  <c r="N103" i="12"/>
  <c r="F103" i="12"/>
  <c r="B103" i="12"/>
  <c r="N102" i="12"/>
  <c r="F102" i="12"/>
  <c r="B102" i="12"/>
  <c r="N101" i="12"/>
  <c r="F101" i="12"/>
  <c r="B101" i="12"/>
  <c r="N100" i="12"/>
  <c r="F100" i="12"/>
  <c r="B100" i="12"/>
  <c r="N99" i="12"/>
  <c r="F99" i="12"/>
  <c r="B99" i="12"/>
  <c r="N98" i="12"/>
  <c r="F98" i="12"/>
  <c r="B98" i="12"/>
  <c r="N97" i="12"/>
  <c r="F97" i="12"/>
  <c r="B97" i="12"/>
  <c r="N96" i="12"/>
  <c r="F96" i="12"/>
  <c r="B96" i="12"/>
  <c r="N95" i="12"/>
  <c r="F95" i="12"/>
  <c r="B95" i="12"/>
  <c r="N94" i="12"/>
  <c r="F94" i="12"/>
  <c r="B94" i="12"/>
  <c r="N93" i="12"/>
  <c r="F93" i="12"/>
  <c r="B93" i="12"/>
  <c r="N92" i="12"/>
  <c r="F92" i="12"/>
  <c r="B92" i="12"/>
  <c r="N91" i="12"/>
  <c r="F91" i="12"/>
  <c r="B91" i="12"/>
  <c r="N90" i="12"/>
  <c r="F90" i="12"/>
  <c r="B90" i="12"/>
  <c r="N89" i="12"/>
  <c r="F89" i="12"/>
  <c r="B89" i="12"/>
  <c r="N88" i="12"/>
  <c r="F88" i="12"/>
  <c r="B88" i="12"/>
  <c r="N87" i="12"/>
  <c r="F87" i="12"/>
  <c r="B87" i="12"/>
  <c r="N86" i="12"/>
  <c r="F86" i="12"/>
  <c r="B86" i="12"/>
  <c r="N85" i="12"/>
  <c r="F85" i="12"/>
  <c r="B85" i="12"/>
  <c r="N84" i="12"/>
  <c r="F84" i="12"/>
  <c r="B84" i="12"/>
  <c r="N83" i="12"/>
  <c r="F83" i="12"/>
  <c r="B83" i="12"/>
  <c r="N82" i="12"/>
  <c r="F82" i="12"/>
  <c r="B82" i="12"/>
  <c r="N81" i="12"/>
  <c r="F81" i="12"/>
  <c r="B81" i="12"/>
  <c r="N80" i="12"/>
  <c r="F80" i="12"/>
  <c r="B80" i="12"/>
  <c r="N79" i="12"/>
  <c r="F79" i="12"/>
  <c r="B79" i="12"/>
  <c r="N78" i="12"/>
  <c r="F78" i="12"/>
  <c r="B78" i="12"/>
  <c r="N77" i="12"/>
  <c r="F77" i="12"/>
  <c r="B77" i="12"/>
  <c r="N76" i="12"/>
  <c r="F76" i="12"/>
  <c r="B76" i="12"/>
  <c r="N75" i="12"/>
  <c r="F75" i="12"/>
  <c r="B75" i="12"/>
  <c r="N74" i="12"/>
  <c r="F74" i="12"/>
  <c r="B74" i="12"/>
  <c r="N73" i="12"/>
  <c r="F73" i="12"/>
  <c r="B73" i="12"/>
  <c r="N72" i="12"/>
  <c r="F72" i="12"/>
  <c r="B72" i="12"/>
  <c r="N71" i="12"/>
  <c r="F71" i="12"/>
  <c r="B71" i="12"/>
  <c r="N70" i="12"/>
  <c r="F70" i="12"/>
  <c r="B70" i="12"/>
  <c r="N69" i="12"/>
  <c r="F69" i="12"/>
  <c r="B69" i="12"/>
  <c r="N68" i="12"/>
  <c r="F68" i="12"/>
  <c r="B68" i="12"/>
  <c r="N67" i="12"/>
  <c r="F67" i="12"/>
  <c r="B67" i="12"/>
  <c r="N66" i="12"/>
  <c r="F66" i="12"/>
  <c r="B66" i="12"/>
  <c r="N65" i="12"/>
  <c r="F65" i="12"/>
  <c r="B65" i="12"/>
  <c r="N64" i="12"/>
  <c r="F64" i="12"/>
  <c r="B64" i="12"/>
  <c r="N63" i="12"/>
  <c r="F63" i="12"/>
  <c r="B63" i="12"/>
  <c r="N62" i="12"/>
  <c r="F62" i="12"/>
  <c r="B62" i="12"/>
  <c r="N61" i="12"/>
  <c r="F61" i="12"/>
  <c r="B61" i="12"/>
  <c r="N60" i="12"/>
  <c r="F60" i="12"/>
  <c r="B60" i="12"/>
  <c r="N59" i="12"/>
  <c r="F59" i="12"/>
  <c r="B59" i="12"/>
  <c r="N58" i="12"/>
  <c r="F58" i="12"/>
  <c r="B58" i="12"/>
  <c r="N57" i="12"/>
  <c r="F57" i="12"/>
  <c r="B57" i="12"/>
  <c r="N56" i="12"/>
  <c r="F56" i="12"/>
  <c r="B56" i="12"/>
  <c r="N55" i="12"/>
  <c r="F55" i="12"/>
  <c r="B55" i="12"/>
  <c r="N54" i="12"/>
  <c r="F54" i="12"/>
  <c r="B54" i="12"/>
  <c r="N53" i="12"/>
  <c r="F53" i="12"/>
  <c r="B53" i="12"/>
  <c r="N52" i="12"/>
  <c r="F52" i="12"/>
  <c r="B52" i="12"/>
  <c r="N51" i="12"/>
  <c r="F51" i="12"/>
  <c r="B51" i="12"/>
  <c r="N50" i="12"/>
  <c r="F50" i="12"/>
  <c r="B50" i="12"/>
  <c r="N49" i="12"/>
  <c r="F49" i="12"/>
  <c r="B49" i="12"/>
  <c r="N48" i="12"/>
  <c r="F48" i="12"/>
  <c r="B48" i="12"/>
  <c r="N47" i="12"/>
  <c r="F47" i="12"/>
  <c r="B47" i="12"/>
  <c r="N46" i="12"/>
  <c r="F46" i="12"/>
  <c r="B46" i="12"/>
  <c r="N45" i="12"/>
  <c r="F45" i="12"/>
  <c r="B45" i="12"/>
  <c r="N44" i="12"/>
  <c r="F44" i="12"/>
  <c r="B44" i="12"/>
  <c r="N43" i="12"/>
  <c r="F43" i="12"/>
  <c r="B43" i="12"/>
  <c r="N42" i="12"/>
  <c r="F42" i="12"/>
  <c r="B42" i="12"/>
  <c r="N41" i="12"/>
  <c r="F41" i="12"/>
  <c r="B41" i="12"/>
  <c r="N40" i="12"/>
  <c r="F40" i="12"/>
  <c r="B40" i="12"/>
  <c r="N39" i="12"/>
  <c r="F39" i="12"/>
  <c r="B39" i="12"/>
  <c r="N38" i="12"/>
  <c r="F38" i="12"/>
  <c r="B38" i="12"/>
  <c r="N37" i="12"/>
  <c r="F37" i="12"/>
  <c r="B37" i="12"/>
  <c r="N36" i="12"/>
  <c r="F36" i="12"/>
  <c r="B36" i="12"/>
  <c r="N35" i="12"/>
  <c r="F35" i="12"/>
  <c r="B35" i="12"/>
  <c r="N34" i="12"/>
  <c r="F34" i="12"/>
  <c r="B34" i="12"/>
  <c r="N33" i="12"/>
  <c r="F33" i="12"/>
  <c r="B33" i="12"/>
  <c r="N32" i="12"/>
  <c r="F32" i="12"/>
  <c r="B32" i="12"/>
  <c r="N31" i="12"/>
  <c r="F31" i="12"/>
  <c r="B31" i="12"/>
  <c r="N30" i="12"/>
  <c r="F30" i="12"/>
  <c r="B30" i="12"/>
  <c r="N29" i="12"/>
  <c r="F29" i="12"/>
  <c r="B29" i="12"/>
  <c r="N28" i="12"/>
  <c r="F28" i="12"/>
  <c r="B28" i="12"/>
  <c r="N27" i="12"/>
  <c r="F27" i="12"/>
  <c r="B27" i="12"/>
  <c r="N26" i="12"/>
  <c r="F26" i="12"/>
  <c r="B26" i="12"/>
  <c r="N25" i="12"/>
  <c r="F25" i="12"/>
  <c r="B25" i="12"/>
  <c r="N24" i="12"/>
  <c r="F24" i="12"/>
  <c r="B24" i="12"/>
  <c r="N23" i="12"/>
  <c r="F23" i="12"/>
  <c r="B23" i="12"/>
  <c r="N22" i="12"/>
  <c r="F22" i="12"/>
  <c r="B22" i="12"/>
  <c r="N21" i="12"/>
  <c r="F21" i="12"/>
  <c r="B21" i="12"/>
  <c r="N20" i="12"/>
  <c r="F20" i="12"/>
  <c r="B20" i="12"/>
  <c r="N19" i="12"/>
  <c r="F19" i="12"/>
  <c r="B19" i="12"/>
  <c r="N18" i="12"/>
  <c r="F18" i="12"/>
  <c r="B18" i="12"/>
  <c r="N17" i="12"/>
  <c r="F17" i="12"/>
  <c r="B17" i="12"/>
  <c r="N16" i="12"/>
  <c r="F16" i="12"/>
  <c r="B16" i="12"/>
  <c r="N15" i="12"/>
  <c r="F15" i="12"/>
  <c r="B15" i="12"/>
  <c r="N14" i="12"/>
  <c r="F14" i="12"/>
  <c r="B14" i="12"/>
  <c r="N13" i="12"/>
  <c r="F13" i="12"/>
  <c r="N12" i="12"/>
  <c r="F12" i="12"/>
  <c r="B12" i="12"/>
  <c r="A13" i="12" s="1"/>
  <c r="N11" i="12"/>
  <c r="F11" i="12"/>
  <c r="B11" i="12"/>
  <c r="N10" i="12"/>
  <c r="F10" i="12"/>
  <c r="B10" i="12"/>
  <c r="N9" i="12"/>
  <c r="F9" i="12"/>
  <c r="B9" i="12"/>
  <c r="N8" i="12"/>
  <c r="F8" i="12"/>
  <c r="B8" i="12"/>
  <c r="N7" i="12"/>
  <c r="F7" i="12"/>
  <c r="B7" i="12"/>
  <c r="H7" i="12" s="1"/>
  <c r="N6" i="12"/>
  <c r="F6" i="12"/>
  <c r="B6" i="12"/>
  <c r="H6" i="12" s="1"/>
  <c r="N5" i="12"/>
  <c r="F5" i="12"/>
  <c r="B5" i="12"/>
  <c r="H5" i="12" s="1"/>
  <c r="N4" i="12"/>
  <c r="F4" i="12"/>
  <c r="B4" i="12"/>
  <c r="N3" i="12"/>
  <c r="F3" i="12"/>
  <c r="B3" i="12"/>
  <c r="H3" i="12" s="1"/>
  <c r="J1" i="12"/>
  <c r="A7" i="12" l="1"/>
  <c r="C7" i="12" s="1"/>
  <c r="A3" i="12"/>
  <c r="C3" i="12" s="1"/>
  <c r="A4" i="12"/>
  <c r="D4" i="12" s="1"/>
  <c r="A5" i="12"/>
  <c r="C5" i="12" s="1"/>
  <c r="A6" i="12"/>
  <c r="J6" i="12" s="1"/>
  <c r="E7" i="12"/>
  <c r="G7" i="12"/>
  <c r="H152" i="12"/>
  <c r="E5" i="12"/>
  <c r="G5" i="12"/>
  <c r="I5" i="12"/>
  <c r="L5" i="12" s="1"/>
  <c r="I3" i="12"/>
  <c r="L3" i="12" s="1"/>
  <c r="E3" i="12"/>
  <c r="G3" i="12"/>
  <c r="E6" i="12"/>
  <c r="G6" i="12"/>
  <c r="I6" i="12"/>
  <c r="L6" i="12" s="1"/>
  <c r="A138" i="12"/>
  <c r="D138" i="12" s="1"/>
  <c r="A85" i="12"/>
  <c r="D85" i="12" s="1"/>
  <c r="I7" i="12"/>
  <c r="L7" i="12" s="1"/>
  <c r="A125" i="12"/>
  <c r="A136" i="12"/>
  <c r="D136" i="12" s="1"/>
  <c r="A67" i="12"/>
  <c r="D67" i="12" s="1"/>
  <c r="A68" i="12"/>
  <c r="A74" i="12"/>
  <c r="A86" i="12"/>
  <c r="D86" i="12" s="1"/>
  <c r="A87" i="12"/>
  <c r="D87" i="12" s="1"/>
  <c r="A43" i="12"/>
  <c r="A20" i="12"/>
  <c r="A41" i="12"/>
  <c r="D41" i="12" s="1"/>
  <c r="A42" i="12"/>
  <c r="A52" i="12"/>
  <c r="A79" i="12"/>
  <c r="A84" i="12"/>
  <c r="A100" i="12"/>
  <c r="D100" i="12" s="1"/>
  <c r="A105" i="12"/>
  <c r="A25" i="12"/>
  <c r="D25" i="12" s="1"/>
  <c r="A57" i="12"/>
  <c r="A66" i="12"/>
  <c r="A73" i="12"/>
  <c r="D73" i="12" s="1"/>
  <c r="A110" i="12"/>
  <c r="A115" i="12"/>
  <c r="A124" i="12"/>
  <c r="D124" i="12" s="1"/>
  <c r="A130" i="12"/>
  <c r="D130" i="12" s="1"/>
  <c r="A135" i="12"/>
  <c r="D135" i="12" s="1"/>
  <c r="A15" i="12"/>
  <c r="D15" i="12" s="1"/>
  <c r="A24" i="12"/>
  <c r="D24" i="12" s="1"/>
  <c r="A37" i="12"/>
  <c r="D37" i="12" s="1"/>
  <c r="A33" i="12"/>
  <c r="D33" i="12" s="1"/>
  <c r="A129" i="12"/>
  <c r="D129" i="12" s="1"/>
  <c r="A29" i="12"/>
  <c r="D29" i="12" s="1"/>
  <c r="A47" i="12"/>
  <c r="A51" i="12"/>
  <c r="D51" i="12" s="1"/>
  <c r="A83" i="12"/>
  <c r="D83" i="12" s="1"/>
  <c r="A95" i="12"/>
  <c r="D95" i="12" s="1"/>
  <c r="A104" i="12"/>
  <c r="A114" i="12"/>
  <c r="D114" i="12" s="1"/>
  <c r="A123" i="12"/>
  <c r="A11" i="12"/>
  <c r="A19" i="12"/>
  <c r="A56" i="12"/>
  <c r="A61" i="12"/>
  <c r="A65" i="12"/>
  <c r="A72" i="12"/>
  <c r="A78" i="12"/>
  <c r="D78" i="12" s="1"/>
  <c r="A91" i="12"/>
  <c r="A99" i="12"/>
  <c r="D99" i="12" s="1"/>
  <c r="A109" i="12"/>
  <c r="D109" i="12" s="1"/>
  <c r="A119" i="12"/>
  <c r="D119" i="12" s="1"/>
  <c r="A134" i="12"/>
  <c r="A44" i="12"/>
  <c r="D44" i="12" s="1"/>
  <c r="A45" i="12"/>
  <c r="D45" i="12" s="1"/>
  <c r="A46" i="12"/>
  <c r="D46" i="12" s="1"/>
  <c r="A23" i="12"/>
  <c r="A126" i="12"/>
  <c r="D126" i="12" s="1"/>
  <c r="A118" i="12"/>
  <c r="A128" i="12"/>
  <c r="D128" i="12" s="1"/>
  <c r="A69" i="12"/>
  <c r="D69" i="12" s="1"/>
  <c r="A146" i="12"/>
  <c r="A80" i="12"/>
  <c r="D80" i="12" s="1"/>
  <c r="A142" i="12"/>
  <c r="A150" i="12"/>
  <c r="J150" i="12" s="1"/>
  <c r="E150" i="12"/>
  <c r="G150" i="12"/>
  <c r="A10" i="12"/>
  <c r="A14" i="12"/>
  <c r="D14" i="12" s="1"/>
  <c r="A77" i="12"/>
  <c r="D77" i="12" s="1"/>
  <c r="A97" i="12"/>
  <c r="D97" i="12" s="1"/>
  <c r="A106" i="12"/>
  <c r="D106" i="12" s="1"/>
  <c r="A120" i="12"/>
  <c r="D120" i="12" s="1"/>
  <c r="A140" i="12"/>
  <c r="A144" i="12"/>
  <c r="D144" i="12" s="1"/>
  <c r="A148" i="12"/>
  <c r="A152" i="12"/>
  <c r="D152" i="12" s="1"/>
  <c r="E152" i="12"/>
  <c r="K152" i="12" s="1"/>
  <c r="M152" i="12" s="1"/>
  <c r="G152" i="12"/>
  <c r="A9" i="12"/>
  <c r="D9" i="12" s="1"/>
  <c r="A16" i="12"/>
  <c r="D16" i="12" s="1"/>
  <c r="A22" i="12"/>
  <c r="D22" i="12" s="1"/>
  <c r="A76" i="12"/>
  <c r="A89" i="12"/>
  <c r="D89" i="12" s="1"/>
  <c r="A98" i="12"/>
  <c r="D98" i="12" s="1"/>
  <c r="A111" i="12"/>
  <c r="A117" i="12"/>
  <c r="D117" i="12" s="1"/>
  <c r="A122" i="12"/>
  <c r="A139" i="12"/>
  <c r="D139" i="12" s="1"/>
  <c r="A141" i="12"/>
  <c r="A143" i="12"/>
  <c r="D143" i="12" s="1"/>
  <c r="A145" i="12"/>
  <c r="A147" i="12"/>
  <c r="D147" i="12" s="1"/>
  <c r="A149" i="12"/>
  <c r="J149" i="12" s="1"/>
  <c r="E149" i="12"/>
  <c r="G149" i="12"/>
  <c r="A151" i="12"/>
  <c r="J151" i="12" s="1"/>
  <c r="E151" i="12"/>
  <c r="G151" i="12"/>
  <c r="A153" i="12"/>
  <c r="J153" i="12" s="1"/>
  <c r="E153" i="12"/>
  <c r="K153" i="12" s="1"/>
  <c r="M153" i="12" s="1"/>
  <c r="F16" i="5"/>
  <c r="A81" i="12"/>
  <c r="D81" i="12" s="1"/>
  <c r="A102" i="12"/>
  <c r="D102" i="12" s="1"/>
  <c r="A132" i="12"/>
  <c r="D132" i="12" s="1"/>
  <c r="A8" i="12"/>
  <c r="D8" i="12" s="1"/>
  <c r="A27" i="12"/>
  <c r="D27" i="12" s="1"/>
  <c r="A28" i="12"/>
  <c r="A31" i="12"/>
  <c r="A32" i="12"/>
  <c r="D32" i="12" s="1"/>
  <c r="A35" i="12"/>
  <c r="D35" i="12" s="1"/>
  <c r="A36" i="12"/>
  <c r="A39" i="12"/>
  <c r="A40" i="12"/>
  <c r="A48" i="12"/>
  <c r="D48" i="12" s="1"/>
  <c r="A54" i="12"/>
  <c r="A55" i="12"/>
  <c r="A59" i="12"/>
  <c r="A60" i="12"/>
  <c r="D60" i="12" s="1"/>
  <c r="A82" i="12"/>
  <c r="A93" i="12"/>
  <c r="D93" i="12" s="1"/>
  <c r="A113" i="12"/>
  <c r="A62" i="12"/>
  <c r="D62" i="12" s="1"/>
  <c r="A75" i="12"/>
  <c r="D75" i="12" s="1"/>
  <c r="I149" i="12"/>
  <c r="L149" i="12" s="1"/>
  <c r="I150" i="12"/>
  <c r="L150" i="12" s="1"/>
  <c r="I151" i="12"/>
  <c r="L151" i="12" s="1"/>
  <c r="I152" i="12"/>
  <c r="H8" i="12"/>
  <c r="A63" i="12"/>
  <c r="A70" i="12"/>
  <c r="A90" i="12"/>
  <c r="A94" i="12"/>
  <c r="A101" i="12"/>
  <c r="A107" i="12"/>
  <c r="A112" i="12"/>
  <c r="A116" i="12"/>
  <c r="A121" i="12"/>
  <c r="A127" i="12"/>
  <c r="A131" i="12"/>
  <c r="I156" i="12"/>
  <c r="G156" i="12"/>
  <c r="E156" i="12"/>
  <c r="K156" i="12" s="1"/>
  <c r="M156" i="12" s="1"/>
  <c r="A156" i="12"/>
  <c r="H156" i="12"/>
  <c r="I160" i="12"/>
  <c r="G160" i="12"/>
  <c r="E160" i="12"/>
  <c r="K160" i="12" s="1"/>
  <c r="M160" i="12" s="1"/>
  <c r="A160" i="12"/>
  <c r="H160" i="12"/>
  <c r="I164" i="12"/>
  <c r="G164" i="12"/>
  <c r="E164" i="12"/>
  <c r="K164" i="12" s="1"/>
  <c r="M164" i="12" s="1"/>
  <c r="A164" i="12"/>
  <c r="H164" i="12"/>
  <c r="I168" i="12"/>
  <c r="G168" i="12"/>
  <c r="E168" i="12"/>
  <c r="K168" i="12" s="1"/>
  <c r="M168" i="12" s="1"/>
  <c r="A168" i="12"/>
  <c r="H168" i="12"/>
  <c r="I172" i="12"/>
  <c r="G172" i="12"/>
  <c r="E172" i="12"/>
  <c r="K172" i="12" s="1"/>
  <c r="M172" i="12" s="1"/>
  <c r="A172" i="12"/>
  <c r="H172" i="12"/>
  <c r="I176" i="12"/>
  <c r="G176" i="12"/>
  <c r="E176" i="12"/>
  <c r="K176" i="12" s="1"/>
  <c r="M176" i="12" s="1"/>
  <c r="A176" i="12"/>
  <c r="H176" i="12"/>
  <c r="I180" i="12"/>
  <c r="G180" i="12"/>
  <c r="E180" i="12"/>
  <c r="K180" i="12" s="1"/>
  <c r="M180" i="12" s="1"/>
  <c r="A180" i="12"/>
  <c r="H180" i="12"/>
  <c r="I184" i="12"/>
  <c r="G184" i="12"/>
  <c r="E184" i="12"/>
  <c r="K184" i="12" s="1"/>
  <c r="M184" i="12" s="1"/>
  <c r="A184" i="12"/>
  <c r="H184" i="12"/>
  <c r="I188" i="12"/>
  <c r="G188" i="12"/>
  <c r="E188" i="12"/>
  <c r="K188" i="12" s="1"/>
  <c r="M188" i="12" s="1"/>
  <c r="A188" i="12"/>
  <c r="H188" i="12"/>
  <c r="I192" i="12"/>
  <c r="G192" i="12"/>
  <c r="E192" i="12"/>
  <c r="K192" i="12" s="1"/>
  <c r="M192" i="12" s="1"/>
  <c r="A192" i="12"/>
  <c r="H192" i="12"/>
  <c r="E8" i="12"/>
  <c r="E9" i="12" s="1"/>
  <c r="G8" i="12"/>
  <c r="G9" i="12" s="1"/>
  <c r="I8" i="12"/>
  <c r="I9" i="12" s="1"/>
  <c r="A12" i="12"/>
  <c r="D12" i="12" s="1"/>
  <c r="A17" i="12"/>
  <c r="A18" i="12"/>
  <c r="A21" i="12"/>
  <c r="D21" i="12" s="1"/>
  <c r="A26" i="12"/>
  <c r="D26" i="12" s="1"/>
  <c r="A30" i="12"/>
  <c r="D30" i="12" s="1"/>
  <c r="A34" i="12"/>
  <c r="D34" i="12" s="1"/>
  <c r="A38" i="12"/>
  <c r="D38" i="12" s="1"/>
  <c r="A49" i="12"/>
  <c r="A50" i="12"/>
  <c r="A53" i="12"/>
  <c r="D53" i="12" s="1"/>
  <c r="A58" i="12"/>
  <c r="D58" i="12" s="1"/>
  <c r="A64" i="12"/>
  <c r="A71" i="12"/>
  <c r="A88" i="12"/>
  <c r="A92" i="12"/>
  <c r="A96" i="12"/>
  <c r="A103" i="12"/>
  <c r="A108" i="12"/>
  <c r="A133" i="12"/>
  <c r="A137" i="12"/>
  <c r="I154" i="12"/>
  <c r="G154" i="12"/>
  <c r="E154" i="12"/>
  <c r="K154" i="12" s="1"/>
  <c r="M154" i="12" s="1"/>
  <c r="A154" i="12"/>
  <c r="H154" i="12"/>
  <c r="I158" i="12"/>
  <c r="G158" i="12"/>
  <c r="E158" i="12"/>
  <c r="K158" i="12" s="1"/>
  <c r="M158" i="12" s="1"/>
  <c r="A158" i="12"/>
  <c r="H158" i="12"/>
  <c r="I162" i="12"/>
  <c r="G162" i="12"/>
  <c r="E162" i="12"/>
  <c r="K162" i="12" s="1"/>
  <c r="M162" i="12" s="1"/>
  <c r="A162" i="12"/>
  <c r="H162" i="12"/>
  <c r="I166" i="12"/>
  <c r="G166" i="12"/>
  <c r="E166" i="12"/>
  <c r="K166" i="12" s="1"/>
  <c r="M166" i="12" s="1"/>
  <c r="A166" i="12"/>
  <c r="H166" i="12"/>
  <c r="I170" i="12"/>
  <c r="G170" i="12"/>
  <c r="E170" i="12"/>
  <c r="K170" i="12" s="1"/>
  <c r="M170" i="12" s="1"/>
  <c r="A170" i="12"/>
  <c r="H170" i="12"/>
  <c r="I174" i="12"/>
  <c r="G174" i="12"/>
  <c r="E174" i="12"/>
  <c r="K174" i="12" s="1"/>
  <c r="M174" i="12" s="1"/>
  <c r="A174" i="12"/>
  <c r="H174" i="12"/>
  <c r="I178" i="12"/>
  <c r="G178" i="12"/>
  <c r="E178" i="12"/>
  <c r="K178" i="12" s="1"/>
  <c r="M178" i="12" s="1"/>
  <c r="A178" i="12"/>
  <c r="H178" i="12"/>
  <c r="I182" i="12"/>
  <c r="G182" i="12"/>
  <c r="E182" i="12"/>
  <c r="K182" i="12" s="1"/>
  <c r="M182" i="12" s="1"/>
  <c r="A182" i="12"/>
  <c r="H182" i="12"/>
  <c r="I153" i="12"/>
  <c r="G153" i="12"/>
  <c r="I155" i="12"/>
  <c r="G155" i="12"/>
  <c r="E155" i="12"/>
  <c r="K155" i="12" s="1"/>
  <c r="M155" i="12" s="1"/>
  <c r="A155" i="12"/>
  <c r="I157" i="12"/>
  <c r="G157" i="12"/>
  <c r="E157" i="12"/>
  <c r="K157" i="12" s="1"/>
  <c r="M157" i="12" s="1"/>
  <c r="A157" i="12"/>
  <c r="I159" i="12"/>
  <c r="G159" i="12"/>
  <c r="E159" i="12"/>
  <c r="K159" i="12" s="1"/>
  <c r="M159" i="12" s="1"/>
  <c r="A159" i="12"/>
  <c r="I161" i="12"/>
  <c r="G161" i="12"/>
  <c r="E161" i="12"/>
  <c r="K161" i="12" s="1"/>
  <c r="M161" i="12" s="1"/>
  <c r="A161" i="12"/>
  <c r="I163" i="12"/>
  <c r="G163" i="12"/>
  <c r="E163" i="12"/>
  <c r="K163" i="12" s="1"/>
  <c r="M163" i="12" s="1"/>
  <c r="A163" i="12"/>
  <c r="I165" i="12"/>
  <c r="G165" i="12"/>
  <c r="E165" i="12"/>
  <c r="K165" i="12" s="1"/>
  <c r="M165" i="12" s="1"/>
  <c r="A165" i="12"/>
  <c r="I167" i="12"/>
  <c r="G167" i="12"/>
  <c r="E167" i="12"/>
  <c r="K167" i="12" s="1"/>
  <c r="M167" i="12" s="1"/>
  <c r="A167" i="12"/>
  <c r="I169" i="12"/>
  <c r="G169" i="12"/>
  <c r="E169" i="12"/>
  <c r="K169" i="12" s="1"/>
  <c r="M169" i="12" s="1"/>
  <c r="A169" i="12"/>
  <c r="I171" i="12"/>
  <c r="G171" i="12"/>
  <c r="E171" i="12"/>
  <c r="K171" i="12" s="1"/>
  <c r="M171" i="12" s="1"/>
  <c r="A171" i="12"/>
  <c r="I173" i="12"/>
  <c r="G173" i="12"/>
  <c r="E173" i="12"/>
  <c r="K173" i="12" s="1"/>
  <c r="M173" i="12" s="1"/>
  <c r="A173" i="12"/>
  <c r="I175" i="12"/>
  <c r="G175" i="12"/>
  <c r="E175" i="12"/>
  <c r="K175" i="12" s="1"/>
  <c r="M175" i="12" s="1"/>
  <c r="A175" i="12"/>
  <c r="I177" i="12"/>
  <c r="G177" i="12"/>
  <c r="E177" i="12"/>
  <c r="K177" i="12" s="1"/>
  <c r="M177" i="12" s="1"/>
  <c r="A177" i="12"/>
  <c r="I179" i="12"/>
  <c r="G179" i="12"/>
  <c r="E179" i="12"/>
  <c r="K179" i="12" s="1"/>
  <c r="M179" i="12" s="1"/>
  <c r="A179" i="12"/>
  <c r="I181" i="12"/>
  <c r="G181" i="12"/>
  <c r="E181" i="12"/>
  <c r="K181" i="12" s="1"/>
  <c r="M181" i="12" s="1"/>
  <c r="A181" i="12"/>
  <c r="I183" i="12"/>
  <c r="G183" i="12"/>
  <c r="E183" i="12"/>
  <c r="K183" i="12" s="1"/>
  <c r="M183" i="12" s="1"/>
  <c r="A183" i="12"/>
  <c r="I186" i="12"/>
  <c r="G186" i="12"/>
  <c r="E186" i="12"/>
  <c r="K186" i="12" s="1"/>
  <c r="M186" i="12" s="1"/>
  <c r="A186" i="12"/>
  <c r="H186" i="12"/>
  <c r="I190" i="12"/>
  <c r="G190" i="12"/>
  <c r="E190" i="12"/>
  <c r="K190" i="12" s="1"/>
  <c r="M190" i="12" s="1"/>
  <c r="A190" i="12"/>
  <c r="H190" i="12"/>
  <c r="I185" i="12"/>
  <c r="G185" i="12"/>
  <c r="E185" i="12"/>
  <c r="K185" i="12" s="1"/>
  <c r="M185" i="12" s="1"/>
  <c r="A185" i="12"/>
  <c r="I187" i="12"/>
  <c r="G187" i="12"/>
  <c r="E187" i="12"/>
  <c r="K187" i="12" s="1"/>
  <c r="M187" i="12" s="1"/>
  <c r="A187" i="12"/>
  <c r="I189" i="12"/>
  <c r="G189" i="12"/>
  <c r="E189" i="12"/>
  <c r="K189" i="12" s="1"/>
  <c r="M189" i="12" s="1"/>
  <c r="A189" i="12"/>
  <c r="I191" i="12"/>
  <c r="G191" i="12"/>
  <c r="E191" i="12"/>
  <c r="K191" i="12" s="1"/>
  <c r="M191" i="12" s="1"/>
  <c r="A191" i="12"/>
  <c r="I193" i="12"/>
  <c r="G193" i="12"/>
  <c r="E193" i="12"/>
  <c r="K193" i="12" s="1"/>
  <c r="M193" i="12" s="1"/>
  <c r="A193" i="12"/>
  <c r="H194" i="12"/>
  <c r="H195" i="12"/>
  <c r="H196" i="12"/>
  <c r="H197" i="12"/>
  <c r="H198" i="12"/>
  <c r="H199" i="12"/>
  <c r="H200" i="12"/>
  <c r="H201" i="12"/>
  <c r="A194" i="12"/>
  <c r="E194" i="12"/>
  <c r="K194" i="12" s="1"/>
  <c r="M194" i="12" s="1"/>
  <c r="G194" i="12"/>
  <c r="A195" i="12"/>
  <c r="E195" i="12"/>
  <c r="K195" i="12" s="1"/>
  <c r="M195" i="12" s="1"/>
  <c r="G195" i="12"/>
  <c r="A196" i="12"/>
  <c r="E196" i="12"/>
  <c r="K196" i="12" s="1"/>
  <c r="M196" i="12" s="1"/>
  <c r="G196" i="12"/>
  <c r="A197" i="12"/>
  <c r="E197" i="12"/>
  <c r="K197" i="12" s="1"/>
  <c r="M197" i="12" s="1"/>
  <c r="G197" i="12"/>
  <c r="A198" i="12"/>
  <c r="E198" i="12"/>
  <c r="K198" i="12" s="1"/>
  <c r="M198" i="12" s="1"/>
  <c r="G198" i="12"/>
  <c r="A199" i="12"/>
  <c r="E199" i="12"/>
  <c r="K199" i="12" s="1"/>
  <c r="M199" i="12" s="1"/>
  <c r="G199" i="12"/>
  <c r="A200" i="12"/>
  <c r="E200" i="12"/>
  <c r="K200" i="12" s="1"/>
  <c r="M200" i="12" s="1"/>
  <c r="G200" i="12"/>
  <c r="A201" i="12"/>
  <c r="E201" i="12"/>
  <c r="K201" i="12" s="1"/>
  <c r="M201" i="12" s="1"/>
  <c r="G201" i="12"/>
  <c r="J7" i="12" l="1"/>
  <c r="K7" i="12" s="1"/>
  <c r="M7" i="12" s="1"/>
  <c r="D7" i="12"/>
  <c r="D3" i="12"/>
  <c r="J3" i="12"/>
  <c r="K3" i="12" s="1"/>
  <c r="M3" i="12" s="1"/>
  <c r="C6" i="12"/>
  <c r="J5" i="12"/>
  <c r="K5" i="12" s="1"/>
  <c r="M5" i="12" s="1"/>
  <c r="D5" i="12"/>
  <c r="D6" i="12"/>
  <c r="K6" i="12"/>
  <c r="M6" i="12" s="1"/>
  <c r="K151" i="12"/>
  <c r="M151" i="12" s="1"/>
  <c r="K149" i="12"/>
  <c r="M149" i="12" s="1"/>
  <c r="K150" i="12"/>
  <c r="M150" i="12" s="1"/>
  <c r="D43" i="12"/>
  <c r="D123" i="12"/>
  <c r="D57" i="12"/>
  <c r="D20" i="12"/>
  <c r="D105" i="12"/>
  <c r="D134" i="12"/>
  <c r="D151" i="12"/>
  <c r="D115" i="12"/>
  <c r="D52" i="12"/>
  <c r="D66" i="12"/>
  <c r="D68" i="12"/>
  <c r="D74" i="12"/>
  <c r="D150" i="12"/>
  <c r="D79" i="12"/>
  <c r="C151" i="12"/>
  <c r="D47" i="12"/>
  <c r="C150" i="12"/>
  <c r="D110" i="12"/>
  <c r="D65" i="12"/>
  <c r="D125" i="12"/>
  <c r="D148" i="12"/>
  <c r="D140" i="12"/>
  <c r="D111" i="12"/>
  <c r="D84" i="12"/>
  <c r="D42" i="12"/>
  <c r="D91" i="12"/>
  <c r="I10" i="12"/>
  <c r="I11" i="12" s="1"/>
  <c r="G10" i="12"/>
  <c r="G11" i="12" s="1"/>
  <c r="E10" i="12"/>
  <c r="E11" i="12" s="1"/>
  <c r="D56" i="12"/>
  <c r="D11" i="12"/>
  <c r="D104" i="12"/>
  <c r="D72" i="12"/>
  <c r="D61" i="12"/>
  <c r="D19" i="12"/>
  <c r="L8" i="12"/>
  <c r="H9" i="12"/>
  <c r="L9" i="12" s="1"/>
  <c r="D153" i="12"/>
  <c r="D149" i="12"/>
  <c r="D145" i="12"/>
  <c r="D141" i="12"/>
  <c r="D118" i="12"/>
  <c r="D76" i="12"/>
  <c r="D23" i="12"/>
  <c r="D13" i="12"/>
  <c r="D10" i="12"/>
  <c r="J152" i="12"/>
  <c r="D142" i="12"/>
  <c r="D122" i="12"/>
  <c r="C153" i="12"/>
  <c r="C149" i="12"/>
  <c r="D31" i="12"/>
  <c r="C152" i="12"/>
  <c r="D146" i="12"/>
  <c r="D113" i="12"/>
  <c r="J8" i="12"/>
  <c r="J9" i="12" s="1"/>
  <c r="D82" i="12"/>
  <c r="D59" i="12"/>
  <c r="D55" i="12"/>
  <c r="D39" i="12"/>
  <c r="D54" i="12"/>
  <c r="D40" i="12"/>
  <c r="C8" i="12"/>
  <c r="C9" i="12" s="1"/>
  <c r="D36" i="12"/>
  <c r="D28" i="12"/>
  <c r="C200" i="12"/>
  <c r="J200" i="12"/>
  <c r="D200" i="12"/>
  <c r="C198" i="12"/>
  <c r="J198" i="12"/>
  <c r="D198" i="12"/>
  <c r="C196" i="12"/>
  <c r="J196" i="12"/>
  <c r="D196" i="12"/>
  <c r="C194" i="12"/>
  <c r="J194" i="12"/>
  <c r="D194" i="12"/>
  <c r="C190" i="12"/>
  <c r="D190" i="12"/>
  <c r="J190" i="12"/>
  <c r="C178" i="12"/>
  <c r="D178" i="12"/>
  <c r="J178" i="12"/>
  <c r="C170" i="12"/>
  <c r="D170" i="12"/>
  <c r="J170" i="12"/>
  <c r="C162" i="12"/>
  <c r="D162" i="12"/>
  <c r="J162" i="12"/>
  <c r="C154" i="12"/>
  <c r="D154" i="12"/>
  <c r="J154" i="12"/>
  <c r="D137" i="12"/>
  <c r="D108" i="12"/>
  <c r="D103" i="12"/>
  <c r="D96" i="12"/>
  <c r="D92" i="12"/>
  <c r="D88" i="12"/>
  <c r="D64" i="12"/>
  <c r="D50" i="12"/>
  <c r="D18" i="12"/>
  <c r="C188" i="12"/>
  <c r="D188" i="12"/>
  <c r="J188" i="12"/>
  <c r="C180" i="12"/>
  <c r="D180" i="12"/>
  <c r="J180" i="12"/>
  <c r="C172" i="12"/>
  <c r="D172" i="12"/>
  <c r="J172" i="12"/>
  <c r="C164" i="12"/>
  <c r="D164" i="12"/>
  <c r="J164" i="12"/>
  <c r="C156" i="12"/>
  <c r="D156" i="12"/>
  <c r="J156" i="12"/>
  <c r="D131" i="12"/>
  <c r="D121" i="12"/>
  <c r="D116" i="12"/>
  <c r="D90" i="12"/>
  <c r="D70" i="12"/>
  <c r="C201" i="12"/>
  <c r="J201" i="12"/>
  <c r="D201" i="12"/>
  <c r="C199" i="12"/>
  <c r="J199" i="12"/>
  <c r="D199" i="12"/>
  <c r="C197" i="12"/>
  <c r="J197" i="12"/>
  <c r="D197" i="12"/>
  <c r="C195" i="12"/>
  <c r="J195" i="12"/>
  <c r="D195" i="12"/>
  <c r="C193" i="12"/>
  <c r="J193" i="12"/>
  <c r="D193" i="12"/>
  <c r="C191" i="12"/>
  <c r="J191" i="12"/>
  <c r="D191" i="12"/>
  <c r="C189" i="12"/>
  <c r="J189" i="12"/>
  <c r="D189" i="12"/>
  <c r="C187" i="12"/>
  <c r="J187" i="12"/>
  <c r="D187" i="12"/>
  <c r="C185" i="12"/>
  <c r="J185" i="12"/>
  <c r="D185" i="12"/>
  <c r="C186" i="12"/>
  <c r="D186" i="12"/>
  <c r="J186" i="12"/>
  <c r="C183" i="12"/>
  <c r="J183" i="12"/>
  <c r="D183" i="12"/>
  <c r="C181" i="12"/>
  <c r="J181" i="12"/>
  <c r="D181" i="12"/>
  <c r="C179" i="12"/>
  <c r="J179" i="12"/>
  <c r="D179" i="12"/>
  <c r="C177" i="12"/>
  <c r="J177" i="12"/>
  <c r="D177" i="12"/>
  <c r="C175" i="12"/>
  <c r="J175" i="12"/>
  <c r="D175" i="12"/>
  <c r="C173" i="12"/>
  <c r="J173" i="12"/>
  <c r="D173" i="12"/>
  <c r="C171" i="12"/>
  <c r="J171" i="12"/>
  <c r="D171" i="12"/>
  <c r="C169" i="12"/>
  <c r="J169" i="12"/>
  <c r="D169" i="12"/>
  <c r="C167" i="12"/>
  <c r="J167" i="12"/>
  <c r="D167" i="12"/>
  <c r="C165" i="12"/>
  <c r="J165" i="12"/>
  <c r="D165" i="12"/>
  <c r="C163" i="12"/>
  <c r="J163" i="12"/>
  <c r="D163" i="12"/>
  <c r="C161" i="12"/>
  <c r="J161" i="12"/>
  <c r="D161" i="12"/>
  <c r="C159" i="12"/>
  <c r="J159" i="12"/>
  <c r="D159" i="12"/>
  <c r="C157" i="12"/>
  <c r="J157" i="12"/>
  <c r="D157" i="12"/>
  <c r="C155" i="12"/>
  <c r="J155" i="12"/>
  <c r="D155" i="12"/>
  <c r="C182" i="12"/>
  <c r="D182" i="12"/>
  <c r="J182" i="12"/>
  <c r="C174" i="12"/>
  <c r="D174" i="12"/>
  <c r="J174" i="12"/>
  <c r="C166" i="12"/>
  <c r="D166" i="12"/>
  <c r="J166" i="12"/>
  <c r="C158" i="12"/>
  <c r="D158" i="12"/>
  <c r="J158" i="12"/>
  <c r="D133" i="12"/>
  <c r="D71" i="12"/>
  <c r="D49" i="12"/>
  <c r="D17" i="12"/>
  <c r="C192" i="12"/>
  <c r="D192" i="12"/>
  <c r="J192" i="12"/>
  <c r="C184" i="12"/>
  <c r="D184" i="12"/>
  <c r="J184" i="12"/>
  <c r="C176" i="12"/>
  <c r="D176" i="12"/>
  <c r="J176" i="12"/>
  <c r="C168" i="12"/>
  <c r="D168" i="12"/>
  <c r="J168" i="12"/>
  <c r="C160" i="12"/>
  <c r="D160" i="12"/>
  <c r="J160" i="12"/>
  <c r="D127" i="12"/>
  <c r="D112" i="12"/>
  <c r="D107" i="12"/>
  <c r="D101" i="12"/>
  <c r="D94" i="12"/>
  <c r="D63" i="12"/>
  <c r="K8" i="12" l="1"/>
  <c r="M8" i="12" s="1"/>
  <c r="C10" i="12"/>
  <c r="J10" i="12"/>
  <c r="J11" i="12" s="1"/>
  <c r="H10" i="12"/>
  <c r="K9" i="12"/>
  <c r="M9" i="12" s="1"/>
  <c r="L10" i="12" l="1"/>
  <c r="C11" i="12"/>
  <c r="H11" i="12"/>
  <c r="K10" i="12"/>
  <c r="M10" i="12" s="1"/>
  <c r="L11" i="12" l="1"/>
  <c r="K11" i="12"/>
  <c r="M11" i="12" s="1"/>
  <c r="C46" i="12" l="1"/>
  <c r="J46" i="12"/>
  <c r="H46" i="12" l="1"/>
  <c r="L15" i="12" l="1"/>
  <c r="H143" i="12" l="1"/>
  <c r="J143" i="12"/>
  <c r="I143" i="12"/>
  <c r="G143" i="12"/>
  <c r="C143" i="12"/>
  <c r="E143" i="12"/>
  <c r="K143" i="12" l="1"/>
  <c r="L143" i="12"/>
  <c r="H144" i="12" l="1"/>
  <c r="M143" i="12"/>
  <c r="G46" i="12" l="1"/>
  <c r="E46" i="12"/>
  <c r="H43" i="12" l="1"/>
  <c r="C144" i="12"/>
  <c r="J144" i="12"/>
  <c r="G144" i="12"/>
  <c r="E144" i="12"/>
  <c r="K144" i="12" l="1"/>
  <c r="I144" i="12" l="1"/>
  <c r="I43" i="12"/>
  <c r="M144" i="12" l="1"/>
  <c r="L144" i="12"/>
  <c r="L43" i="12"/>
  <c r="C43" i="12"/>
  <c r="J43" i="12"/>
  <c r="G43" i="12"/>
  <c r="E43" i="12"/>
  <c r="K43" i="12" l="1"/>
  <c r="M43" i="12" l="1"/>
  <c r="L19" i="12" l="1"/>
  <c r="I44" i="12"/>
  <c r="C44" i="12"/>
  <c r="J44" i="12"/>
  <c r="G44" i="12"/>
  <c r="H44" i="12"/>
  <c r="E44" i="12"/>
  <c r="G45" i="12" l="1"/>
  <c r="J45" i="12"/>
  <c r="C45" i="12"/>
  <c r="I45" i="12"/>
  <c r="I46" i="12" s="1"/>
  <c r="L46" i="12" s="1"/>
  <c r="K44" i="12"/>
  <c r="E45" i="12"/>
  <c r="L44" i="12"/>
  <c r="H45" i="12"/>
  <c r="L23" i="12" l="1"/>
  <c r="L45" i="12"/>
  <c r="M44" i="12"/>
  <c r="K45" i="12"/>
  <c r="K46" i="12" l="1"/>
  <c r="M45" i="12"/>
  <c r="M46" i="12" l="1"/>
  <c r="H148" i="12"/>
  <c r="G67" i="12" l="1"/>
  <c r="C67" i="12"/>
  <c r="J67" i="12"/>
  <c r="I67" i="12"/>
  <c r="E67" i="12"/>
  <c r="L67" i="12" l="1"/>
  <c r="K67" i="12"/>
  <c r="M67" i="12" s="1"/>
  <c r="H147" i="12" l="1"/>
  <c r="C148" i="12"/>
  <c r="G148" i="12"/>
  <c r="J148" i="12"/>
  <c r="E148" i="12"/>
  <c r="I148" i="12"/>
  <c r="K148" i="12" l="1"/>
  <c r="H146" i="12"/>
  <c r="L145" i="12"/>
  <c r="M148" i="12" l="1"/>
  <c r="I147" i="12" l="1"/>
  <c r="L147" i="12" s="1"/>
  <c r="I146" i="12"/>
  <c r="L146" i="12" s="1"/>
  <c r="G147" i="12" l="1"/>
  <c r="G146" i="12"/>
  <c r="C147" i="12"/>
  <c r="C146" i="12"/>
  <c r="E147" i="12"/>
  <c r="E146" i="12" s="1"/>
  <c r="J147" i="12"/>
  <c r="J146" i="12" s="1"/>
  <c r="K146" i="12" l="1"/>
  <c r="M146" i="12" s="1"/>
  <c r="K147" i="12"/>
  <c r="M147" i="12" s="1"/>
  <c r="C142" i="12"/>
  <c r="J142" i="12"/>
  <c r="G142" i="12"/>
  <c r="I142" i="12"/>
  <c r="H142" i="12"/>
  <c r="L142" i="12" s="1"/>
  <c r="E142" i="12" l="1"/>
  <c r="K142" i="12" l="1"/>
  <c r="M142" i="12" s="1"/>
  <c r="L141" i="12" l="1"/>
  <c r="L136" i="12" l="1"/>
  <c r="H140" i="12"/>
  <c r="E140" i="12"/>
  <c r="I75" i="12" l="1"/>
  <c r="H132" i="12"/>
  <c r="C132" i="12"/>
  <c r="E42" i="12"/>
  <c r="G42" i="12"/>
  <c r="C42" i="12"/>
  <c r="J42" i="12"/>
  <c r="I42" i="12"/>
  <c r="E49" i="12" l="1"/>
  <c r="E132" i="12"/>
  <c r="J132" i="12"/>
  <c r="E4" i="12"/>
  <c r="K42" i="12"/>
  <c r="E12" i="12" l="1"/>
  <c r="E13" i="12" s="1"/>
  <c r="J75" i="12"/>
  <c r="C75" i="12"/>
  <c r="G75" i="12"/>
  <c r="E75" i="12"/>
  <c r="K132" i="12"/>
  <c r="H75" i="12"/>
  <c r="M42" i="12"/>
  <c r="H42" i="12"/>
  <c r="C140" i="12"/>
  <c r="C57" i="12"/>
  <c r="C24" i="12"/>
  <c r="C25" i="12" s="1"/>
  <c r="C29" i="12"/>
  <c r="J140" i="12"/>
  <c r="K140" i="12" s="1"/>
  <c r="M140" i="12" s="1"/>
  <c r="J24" i="12"/>
  <c r="J25" i="12" s="1"/>
  <c r="J29" i="12"/>
  <c r="J57" i="12"/>
  <c r="I140" i="12"/>
  <c r="I24" i="12"/>
  <c r="I25" i="12" s="1"/>
  <c r="I29" i="12"/>
  <c r="I57" i="12"/>
  <c r="L140" i="12"/>
  <c r="G140" i="12"/>
  <c r="G24" i="12"/>
  <c r="G29" i="12"/>
  <c r="G57" i="12"/>
  <c r="H57" i="12"/>
  <c r="H24" i="12"/>
  <c r="H29" i="12"/>
  <c r="E57" i="12"/>
  <c r="E29" i="12"/>
  <c r="E24" i="12"/>
  <c r="J26" i="12" l="1"/>
  <c r="K24" i="12"/>
  <c r="M24" i="12" s="1"/>
  <c r="G25" i="12"/>
  <c r="G26" i="12" s="1"/>
  <c r="I26" i="12"/>
  <c r="C26" i="12"/>
  <c r="H4" i="12"/>
  <c r="L75" i="12"/>
  <c r="L29" i="12"/>
  <c r="L42" i="12"/>
  <c r="K57" i="12"/>
  <c r="L57" i="12"/>
  <c r="H12" i="12"/>
  <c r="K75" i="12"/>
  <c r="K29" i="12"/>
  <c r="M29" i="12" s="1"/>
  <c r="H25" i="12"/>
  <c r="H26" i="12" s="1"/>
  <c r="L24" i="12"/>
  <c r="L26" i="12" l="1"/>
  <c r="H49" i="12"/>
  <c r="H50" i="12" s="1"/>
  <c r="M75" i="12"/>
  <c r="L25" i="12"/>
  <c r="H13" i="12"/>
  <c r="H14" i="12" s="1"/>
  <c r="L58" i="12"/>
  <c r="M57" i="12"/>
  <c r="I32" i="12"/>
  <c r="I33" i="12" s="1"/>
  <c r="I27" i="12"/>
  <c r="I28" i="12" s="1"/>
  <c r="I30" i="12" s="1"/>
  <c r="I31" i="12" s="1"/>
  <c r="I145" i="12"/>
  <c r="H27" i="12"/>
  <c r="L27" i="12" s="1"/>
  <c r="H145" i="12"/>
  <c r="H60" i="12"/>
  <c r="J27" i="12"/>
  <c r="J28" i="12" s="1"/>
  <c r="J30" i="12" s="1"/>
  <c r="J31" i="12" s="1"/>
  <c r="J32" i="12"/>
  <c r="J33" i="12" s="1"/>
  <c r="J60" i="12"/>
  <c r="J145" i="12"/>
  <c r="G32" i="12"/>
  <c r="G33" i="12" s="1"/>
  <c r="G145" i="12"/>
  <c r="G27" i="12"/>
  <c r="G28" i="12" s="1"/>
  <c r="G30" i="12" s="1"/>
  <c r="G31" i="12" s="1"/>
  <c r="C27" i="12"/>
  <c r="C28" i="12" s="1"/>
  <c r="C30" i="12" s="1"/>
  <c r="C31" i="12" s="1"/>
  <c r="C32" i="12"/>
  <c r="C33" i="12" s="1"/>
  <c r="C60" i="12"/>
  <c r="C145" i="12"/>
  <c r="E14" i="12"/>
  <c r="E15" i="12" s="1"/>
  <c r="E145" i="12"/>
  <c r="K145" i="12" s="1"/>
  <c r="M145" i="12" s="1"/>
  <c r="E139" i="12"/>
  <c r="E50" i="12"/>
  <c r="H28" i="12" l="1"/>
  <c r="H30" i="12" s="1"/>
  <c r="H15" i="12"/>
  <c r="C50" i="12"/>
  <c r="L59" i="12"/>
  <c r="G49" i="12"/>
  <c r="G4" i="12" s="1"/>
  <c r="L76" i="12"/>
  <c r="E138" i="12"/>
  <c r="C138" i="12"/>
  <c r="J138" i="12"/>
  <c r="G139" i="12"/>
  <c r="C139" i="12"/>
  <c r="J139" i="12"/>
  <c r="I139" i="12"/>
  <c r="I132" i="12"/>
  <c r="L60" i="12"/>
  <c r="H126" i="12"/>
  <c r="H68" i="12"/>
  <c r="H137" i="12"/>
  <c r="L28" i="12" l="1"/>
  <c r="G12" i="12"/>
  <c r="G13" i="12" s="1"/>
  <c r="G50" i="12"/>
  <c r="J49" i="12"/>
  <c r="J4" i="12" s="1"/>
  <c r="L30" i="12"/>
  <c r="H31" i="12"/>
  <c r="I49" i="12"/>
  <c r="L48" i="12"/>
  <c r="L132" i="12"/>
  <c r="M132" i="12"/>
  <c r="H138" i="12"/>
  <c r="H101" i="12"/>
  <c r="G14" i="12" l="1"/>
  <c r="G15" i="12" s="1"/>
  <c r="J12" i="12"/>
  <c r="K12" i="12" s="1"/>
  <c r="L31" i="12"/>
  <c r="K4" i="12"/>
  <c r="H32" i="12"/>
  <c r="L32" i="12" s="1"/>
  <c r="I4" i="12"/>
  <c r="L49" i="12"/>
  <c r="J50" i="12"/>
  <c r="I50" i="12"/>
  <c r="L50" i="12" s="1"/>
  <c r="I138" i="12"/>
  <c r="L138" i="12" s="1"/>
  <c r="K49" i="12"/>
  <c r="M49" i="12" s="1"/>
  <c r="H139" i="12"/>
  <c r="L139" i="12" s="1"/>
  <c r="I12" i="12"/>
  <c r="L12" i="12" s="1"/>
  <c r="K138" i="12"/>
  <c r="J13" i="12" l="1"/>
  <c r="H33" i="12"/>
  <c r="L33" i="12" s="1"/>
  <c r="M138" i="12"/>
  <c r="J14" i="12"/>
  <c r="J15" i="12" s="1"/>
  <c r="M4" i="12"/>
  <c r="L4" i="12"/>
  <c r="K50" i="12"/>
  <c r="M50" i="12" s="1"/>
  <c r="L133" i="12"/>
  <c r="I13" i="12"/>
  <c r="L13" i="12" s="1"/>
  <c r="M12" i="12"/>
  <c r="K13" i="12"/>
  <c r="K139" i="12"/>
  <c r="M13" i="12" l="1"/>
  <c r="I14" i="12"/>
  <c r="K14" i="12"/>
  <c r="M139" i="12"/>
  <c r="G132" i="12"/>
  <c r="M14" i="12" l="1"/>
  <c r="L14" i="12"/>
  <c r="I15" i="12"/>
  <c r="K15" i="12"/>
  <c r="E126" i="12"/>
  <c r="J126" i="12"/>
  <c r="I126" i="12"/>
  <c r="C126" i="12"/>
  <c r="G126" i="12"/>
  <c r="M15" i="12" l="1"/>
  <c r="C137" i="12"/>
  <c r="L126" i="12"/>
  <c r="K126" i="12"/>
  <c r="M126" i="12" l="1"/>
  <c r="L63" i="12" l="1"/>
  <c r="L71" i="12" l="1"/>
  <c r="E101" i="12" l="1"/>
  <c r="J101" i="12"/>
  <c r="I101" i="12"/>
  <c r="G101" i="12"/>
  <c r="C101" i="12"/>
  <c r="H86" i="12" l="1"/>
  <c r="L101" i="12"/>
  <c r="K101" i="12"/>
  <c r="H125" i="12" l="1"/>
  <c r="G86" i="12"/>
  <c r="M101" i="12"/>
  <c r="J86" i="12" l="1"/>
  <c r="C86" i="12"/>
  <c r="E86" i="12"/>
  <c r="I86" i="12"/>
  <c r="L86" i="12" l="1"/>
  <c r="K86" i="12"/>
  <c r="M86" i="12" l="1"/>
  <c r="H20" i="12" l="1"/>
  <c r="H34" i="12"/>
  <c r="H16" i="12"/>
  <c r="H100" i="12"/>
  <c r="L87" i="12" l="1"/>
  <c r="I125" i="12"/>
  <c r="E125" i="12"/>
  <c r="E100" i="12"/>
  <c r="E16" i="12"/>
  <c r="E20" i="12"/>
  <c r="I34" i="12"/>
  <c r="I100" i="12"/>
  <c r="I20" i="12"/>
  <c r="I16" i="12"/>
  <c r="L100" i="12" l="1"/>
  <c r="L125" i="12"/>
  <c r="E111" i="12"/>
  <c r="E116" i="12"/>
  <c r="C125" i="12"/>
  <c r="G100" i="12"/>
  <c r="L16" i="12"/>
  <c r="L53" i="12"/>
  <c r="L20" i="12"/>
  <c r="L34" i="12"/>
  <c r="J16" i="12"/>
  <c r="K16" i="12" s="1"/>
  <c r="J20" i="12"/>
  <c r="J34" i="12"/>
  <c r="J100" i="12"/>
  <c r="K100" i="12" s="1"/>
  <c r="C20" i="12"/>
  <c r="C16" i="12"/>
  <c r="C100" i="12"/>
  <c r="C34" i="12"/>
  <c r="G20" i="12"/>
  <c r="G16" i="12"/>
  <c r="M100" i="12" l="1"/>
  <c r="G116" i="12"/>
  <c r="C111" i="12"/>
  <c r="G111" i="12"/>
  <c r="C116" i="12"/>
  <c r="J116" i="12"/>
  <c r="J111" i="12"/>
  <c r="G34" i="12"/>
  <c r="L81" i="12"/>
  <c r="K20" i="12"/>
  <c r="M16" i="12"/>
  <c r="K111" i="12" l="1"/>
  <c r="K116" i="12"/>
  <c r="M20" i="12"/>
  <c r="J17" i="12"/>
  <c r="J21" i="12"/>
  <c r="J35" i="12"/>
  <c r="G35" i="12"/>
  <c r="G21" i="12"/>
  <c r="G17" i="12"/>
  <c r="I17" i="12"/>
  <c r="I21" i="12"/>
  <c r="I35" i="12"/>
  <c r="C17" i="12"/>
  <c r="C21" i="12"/>
  <c r="C35" i="12"/>
  <c r="E21" i="12"/>
  <c r="E17" i="12"/>
  <c r="H21" i="12"/>
  <c r="H35" i="12"/>
  <c r="H17" i="12"/>
  <c r="K21" i="12" l="1"/>
  <c r="M21" i="12" s="1"/>
  <c r="I131" i="12"/>
  <c r="L39" i="12"/>
  <c r="L35" i="12"/>
  <c r="K17" i="12"/>
  <c r="L17" i="12"/>
  <c r="L21" i="12"/>
  <c r="I137" i="12" l="1"/>
  <c r="E131" i="12"/>
  <c r="H131" i="12"/>
  <c r="M17" i="12"/>
  <c r="L137" i="12" l="1"/>
  <c r="E137" i="12"/>
  <c r="L131" i="12"/>
  <c r="J131" i="12"/>
  <c r="J137" i="12" l="1"/>
  <c r="K131" i="12"/>
  <c r="K137" i="12" l="1"/>
  <c r="M137" i="12" s="1"/>
  <c r="I102" i="12"/>
  <c r="M131" i="12"/>
  <c r="E102" i="12" l="1"/>
  <c r="C102" i="12"/>
  <c r="G125" i="12"/>
  <c r="J125" i="12"/>
  <c r="J102" i="12" l="1"/>
  <c r="K125" i="12"/>
  <c r="H102" i="12"/>
  <c r="L102" i="12" l="1"/>
  <c r="M125" i="12"/>
  <c r="K102" i="12"/>
  <c r="H64" i="12" l="1"/>
  <c r="H54" i="12"/>
  <c r="G131" i="12"/>
  <c r="M102" i="12"/>
  <c r="G137" i="12" l="1"/>
  <c r="E54" i="12"/>
  <c r="E64" i="12"/>
  <c r="G54" i="12"/>
  <c r="G64" i="12"/>
  <c r="J54" i="12"/>
  <c r="J64" i="12"/>
  <c r="C54" i="12"/>
  <c r="C64" i="12"/>
  <c r="I54" i="12"/>
  <c r="I64" i="12"/>
  <c r="G138" i="12" l="1"/>
  <c r="L54" i="12"/>
  <c r="K54" i="12"/>
  <c r="K64" i="12"/>
  <c r="L64" i="12"/>
  <c r="M64" i="12" l="1"/>
  <c r="M54" i="12"/>
  <c r="I69" i="12" l="1"/>
  <c r="G102" i="12" l="1"/>
  <c r="C80" i="12" l="1"/>
  <c r="G80" i="12"/>
  <c r="I80" i="12"/>
  <c r="E80" i="12"/>
  <c r="J80" i="12" l="1"/>
  <c r="H80" i="12"/>
  <c r="L80" i="12" s="1"/>
  <c r="K80" i="12" l="1"/>
  <c r="M80" i="12" s="1"/>
  <c r="H85" i="12"/>
  <c r="C91" i="12" l="1"/>
  <c r="G91" i="12"/>
  <c r="E91" i="12"/>
  <c r="J91" i="12" l="1"/>
  <c r="K91" i="12" l="1"/>
  <c r="H111" i="12"/>
  <c r="I141" i="12"/>
  <c r="E141" i="12"/>
  <c r="C131" i="12"/>
  <c r="C141" i="12"/>
  <c r="E22" i="12" l="1"/>
  <c r="E23" i="12" s="1"/>
  <c r="E25" i="12" s="1"/>
  <c r="E36" i="12"/>
  <c r="E37" i="12" s="1"/>
  <c r="E38" i="12" s="1"/>
  <c r="E39" i="12" s="1"/>
  <c r="E40" i="12"/>
  <c r="E41" i="12" s="1"/>
  <c r="E47" i="12" s="1"/>
  <c r="E48" i="12" s="1"/>
  <c r="E18" i="12"/>
  <c r="E19" i="12" s="1"/>
  <c r="I22" i="12"/>
  <c r="I23" i="12" s="1"/>
  <c r="I40" i="12"/>
  <c r="I41" i="12" s="1"/>
  <c r="I47" i="12" s="1"/>
  <c r="I48" i="12" s="1"/>
  <c r="I18" i="12"/>
  <c r="I19" i="12" s="1"/>
  <c r="I36" i="12"/>
  <c r="I37" i="12" s="1"/>
  <c r="I38" i="12" s="1"/>
  <c r="I39" i="12" s="1"/>
  <c r="H141" i="12"/>
  <c r="K141" i="12"/>
  <c r="M141" i="12" s="1"/>
  <c r="E69" i="12"/>
  <c r="J69" i="12"/>
  <c r="G69" i="12"/>
  <c r="C69" i="12"/>
  <c r="H69" i="12"/>
  <c r="I116" i="12" l="1"/>
  <c r="E74" i="12"/>
  <c r="I68" i="12"/>
  <c r="I66" i="12"/>
  <c r="E68" i="12"/>
  <c r="E66" i="12"/>
  <c r="E26" i="12"/>
  <c r="E27" i="12" s="1"/>
  <c r="K25" i="12"/>
  <c r="H22" i="12"/>
  <c r="H36" i="12"/>
  <c r="H18" i="12"/>
  <c r="H40" i="12"/>
  <c r="H88" i="12"/>
  <c r="H89" i="12" s="1"/>
  <c r="L89" i="12" s="1"/>
  <c r="L69" i="12"/>
  <c r="K69" i="12"/>
  <c r="I71" i="12" l="1"/>
  <c r="E71" i="12"/>
  <c r="E72" i="12"/>
  <c r="L68" i="12"/>
  <c r="I72" i="12"/>
  <c r="M116" i="12"/>
  <c r="M25" i="12"/>
  <c r="H66" i="12"/>
  <c r="H19" i="12"/>
  <c r="L18" i="12"/>
  <c r="H37" i="12"/>
  <c r="L36" i="12"/>
  <c r="I91" i="12"/>
  <c r="I74" i="12"/>
  <c r="H41" i="12"/>
  <c r="L40" i="12"/>
  <c r="H56" i="12"/>
  <c r="L22" i="12"/>
  <c r="H23" i="12"/>
  <c r="E28" i="12"/>
  <c r="K26" i="12"/>
  <c r="K27" i="12" s="1"/>
  <c r="M27" i="12" s="1"/>
  <c r="L88" i="12"/>
  <c r="M69" i="12"/>
  <c r="G141" i="12"/>
  <c r="L37" i="12" l="1"/>
  <c r="H38" i="12"/>
  <c r="H47" i="12"/>
  <c r="L41" i="12"/>
  <c r="L66" i="12"/>
  <c r="H59" i="12"/>
  <c r="M91" i="12"/>
  <c r="H72" i="12"/>
  <c r="L72" i="12" s="1"/>
  <c r="H116" i="12"/>
  <c r="E30" i="12"/>
  <c r="H91" i="12"/>
  <c r="M26" i="12"/>
  <c r="K28" i="12"/>
  <c r="M28" i="12" s="1"/>
  <c r="H74" i="12"/>
  <c r="L74" i="12" s="1"/>
  <c r="J40" i="12"/>
  <c r="J41" i="12" s="1"/>
  <c r="J47" i="12" s="1"/>
  <c r="J48" i="12" s="1"/>
  <c r="J22" i="12"/>
  <c r="J23" i="12" s="1"/>
  <c r="J18" i="12"/>
  <c r="J19" i="12" s="1"/>
  <c r="J36" i="12"/>
  <c r="J37" i="12" s="1"/>
  <c r="J38" i="12" s="1"/>
  <c r="J39" i="12" s="1"/>
  <c r="G40" i="12"/>
  <c r="G41" i="12" s="1"/>
  <c r="G22" i="12"/>
  <c r="G23" i="12" s="1"/>
  <c r="G18" i="12"/>
  <c r="G19" i="12" s="1"/>
  <c r="G36" i="12"/>
  <c r="G37" i="12" s="1"/>
  <c r="G38" i="12" s="1"/>
  <c r="G39" i="12" s="1"/>
  <c r="C22" i="12"/>
  <c r="C23" i="12" s="1"/>
  <c r="C36" i="12"/>
  <c r="C37" i="12" s="1"/>
  <c r="C38" i="12" s="1"/>
  <c r="C39" i="12" s="1"/>
  <c r="C40" i="12"/>
  <c r="C41" i="12" s="1"/>
  <c r="C18" i="12"/>
  <c r="C19" i="12" s="1"/>
  <c r="K22" i="12"/>
  <c r="L47" i="12" l="1"/>
  <c r="H48" i="12"/>
  <c r="L38" i="12"/>
  <c r="H39" i="12"/>
  <c r="K30" i="12"/>
  <c r="M30" i="12" s="1"/>
  <c r="C47" i="12"/>
  <c r="C48" i="12" s="1"/>
  <c r="G47" i="12"/>
  <c r="G48" i="12" s="1"/>
  <c r="E31" i="12"/>
  <c r="H71" i="12"/>
  <c r="L117" i="12"/>
  <c r="L91" i="12"/>
  <c r="H113" i="12"/>
  <c r="H104" i="12"/>
  <c r="H118" i="12"/>
  <c r="L127" i="12"/>
  <c r="H128" i="12"/>
  <c r="L116" i="12"/>
  <c r="E32" i="12"/>
  <c r="K36" i="12"/>
  <c r="M36" i="12" s="1"/>
  <c r="M22" i="12"/>
  <c r="K23" i="12"/>
  <c r="M23" i="12" s="1"/>
  <c r="K37" i="12"/>
  <c r="C49" i="12"/>
  <c r="C4" i="12" s="1"/>
  <c r="C68" i="12"/>
  <c r="C66" i="12"/>
  <c r="J68" i="12"/>
  <c r="J66" i="12"/>
  <c r="E33" i="12"/>
  <c r="E34" i="12" s="1"/>
  <c r="E35" i="12" s="1"/>
  <c r="K18" i="12"/>
  <c r="K40" i="12"/>
  <c r="G68" i="12"/>
  <c r="G66" i="12"/>
  <c r="K31" i="12" l="1"/>
  <c r="M31" i="12" s="1"/>
  <c r="M37" i="12"/>
  <c r="K38" i="12"/>
  <c r="G71" i="12"/>
  <c r="C71" i="12"/>
  <c r="J71" i="12"/>
  <c r="H119" i="12"/>
  <c r="H105" i="12"/>
  <c r="H114" i="12"/>
  <c r="H129" i="12"/>
  <c r="K32" i="12"/>
  <c r="M32" i="12" s="1"/>
  <c r="K68" i="12"/>
  <c r="J72" i="12"/>
  <c r="C72" i="12"/>
  <c r="G72" i="12"/>
  <c r="K66" i="12"/>
  <c r="K33" i="12"/>
  <c r="M40" i="12"/>
  <c r="K41" i="12"/>
  <c r="M18" i="12"/>
  <c r="K19" i="12"/>
  <c r="C12" i="12"/>
  <c r="C13" i="12" s="1"/>
  <c r="M38" i="12" l="1"/>
  <c r="K39" i="12"/>
  <c r="M39" i="12" s="1"/>
  <c r="M33" i="12"/>
  <c r="K34" i="12"/>
  <c r="M41" i="12"/>
  <c r="K47" i="12"/>
  <c r="M66" i="12"/>
  <c r="K71" i="12"/>
  <c r="M71" i="12" s="1"/>
  <c r="K72" i="12"/>
  <c r="G74" i="12"/>
  <c r="M68" i="12"/>
  <c r="M19" i="12"/>
  <c r="C14" i="12"/>
  <c r="C15" i="12"/>
  <c r="M34" i="12" l="1"/>
  <c r="K35" i="12"/>
  <c r="M35" i="12" s="1"/>
  <c r="M47" i="12"/>
  <c r="K48" i="12"/>
  <c r="M48" i="12" s="1"/>
  <c r="H77" i="12"/>
  <c r="H78" i="12" s="1"/>
  <c r="H93" i="12"/>
  <c r="M72" i="12"/>
  <c r="H94" i="12" l="1"/>
  <c r="J141" i="12"/>
  <c r="J104" i="12"/>
  <c r="J105" i="12" s="1"/>
  <c r="E104" i="12"/>
  <c r="I128" i="12"/>
  <c r="I118" i="12"/>
  <c r="L128" i="12" l="1"/>
  <c r="E105" i="12"/>
  <c r="I119" i="12"/>
  <c r="L118" i="12"/>
  <c r="E114" i="12"/>
  <c r="I129" i="12"/>
  <c r="L129" i="12" s="1"/>
  <c r="I104" i="12"/>
  <c r="L104" i="12" s="1"/>
  <c r="L103" i="12"/>
  <c r="K104" i="12"/>
  <c r="K105" i="12" l="1"/>
  <c r="M105" i="12" s="1"/>
  <c r="L119" i="12"/>
  <c r="I105" i="12"/>
  <c r="J93" i="12"/>
  <c r="E93" i="12"/>
  <c r="E94" i="12" s="1"/>
  <c r="L107" i="12"/>
  <c r="I77" i="12"/>
  <c r="L77" i="12" s="1"/>
  <c r="E77" i="12"/>
  <c r="E78" i="12" s="1"/>
  <c r="I93" i="12"/>
  <c r="L93" i="12" s="1"/>
  <c r="L92" i="12"/>
  <c r="M104" i="12"/>
  <c r="L105" i="12" l="1"/>
  <c r="J94" i="12"/>
  <c r="I78" i="12"/>
  <c r="L78" i="12" s="1"/>
  <c r="I94" i="12"/>
  <c r="E119" i="12"/>
  <c r="K93" i="12"/>
  <c r="M93" i="12" s="1"/>
  <c r="J78" i="12"/>
  <c r="G77" i="12"/>
  <c r="G78" i="12" s="1"/>
  <c r="L94" i="12" l="1"/>
  <c r="G93" i="12"/>
  <c r="G94" i="12" s="1"/>
  <c r="C93" i="12"/>
  <c r="C94" i="12" s="1"/>
  <c r="K94" i="12"/>
  <c r="M94" i="12" s="1"/>
  <c r="I114" i="12"/>
  <c r="E128" i="12"/>
  <c r="C78" i="12"/>
  <c r="K78" i="12"/>
  <c r="L114" i="12" l="1"/>
  <c r="E129" i="12"/>
  <c r="L112" i="12"/>
  <c r="M78" i="12"/>
  <c r="L121" i="12" l="1"/>
  <c r="C118" i="12" l="1"/>
  <c r="C119" i="12" l="1"/>
  <c r="H83" i="12"/>
  <c r="H97" i="12"/>
  <c r="H108" i="12"/>
  <c r="H122" i="12"/>
  <c r="G97" i="12"/>
  <c r="G122" i="12"/>
  <c r="G108" i="12"/>
  <c r="C97" i="12"/>
  <c r="C108" i="12"/>
  <c r="C122" i="12"/>
  <c r="I97" i="12"/>
  <c r="I108" i="12"/>
  <c r="I122" i="12"/>
  <c r="I82" i="12"/>
  <c r="J97" i="12"/>
  <c r="J108" i="12"/>
  <c r="J122" i="12"/>
  <c r="E97" i="12"/>
  <c r="E108" i="12"/>
  <c r="E109" i="12" s="1"/>
  <c r="E122" i="12"/>
  <c r="J83" i="12" l="1"/>
  <c r="C83" i="12"/>
  <c r="G83" i="12"/>
  <c r="E83" i="12"/>
  <c r="I83" i="12"/>
  <c r="I111" i="12"/>
  <c r="K122" i="12"/>
  <c r="M122" i="12" s="1"/>
  <c r="K97" i="12"/>
  <c r="M97" i="12" s="1"/>
  <c r="G114" i="12"/>
  <c r="C114" i="12"/>
  <c r="C129" i="12"/>
  <c r="G129" i="12"/>
  <c r="E123" i="12"/>
  <c r="E98" i="12"/>
  <c r="J129" i="12"/>
  <c r="K108" i="12"/>
  <c r="L122" i="12"/>
  <c r="H123" i="12"/>
  <c r="H98" i="12"/>
  <c r="L97" i="12"/>
  <c r="J114" i="12"/>
  <c r="H109" i="12"/>
  <c r="L108" i="12"/>
  <c r="M111" i="12" l="1"/>
  <c r="L111" i="12"/>
  <c r="I113" i="12"/>
  <c r="L113" i="12" s="1"/>
  <c r="L83" i="12"/>
  <c r="K114" i="12"/>
  <c r="G98" i="12"/>
  <c r="C98" i="12"/>
  <c r="C109" i="12"/>
  <c r="G109" i="12"/>
  <c r="C123" i="12"/>
  <c r="G123" i="12"/>
  <c r="K83" i="12"/>
  <c r="M83" i="12" s="1"/>
  <c r="K129" i="12"/>
  <c r="M129" i="12" s="1"/>
  <c r="M108" i="12"/>
  <c r="M114" i="12" l="1"/>
  <c r="J109" i="12"/>
  <c r="J98" i="12"/>
  <c r="J123" i="12"/>
  <c r="K119" i="12"/>
  <c r="M119" i="12" s="1"/>
  <c r="I109" i="12"/>
  <c r="L109" i="12" s="1"/>
  <c r="I123" i="12"/>
  <c r="I98" i="12"/>
  <c r="L123" i="12" l="1"/>
  <c r="K123" i="12"/>
  <c r="K109" i="12"/>
  <c r="L98" i="12"/>
  <c r="K98" i="12"/>
  <c r="M98" i="12" l="1"/>
  <c r="M109" i="12"/>
  <c r="M123" i="12"/>
  <c r="H82" i="12"/>
  <c r="L82" i="12" s="1"/>
  <c r="L135" i="12" l="1"/>
  <c r="E56" i="12"/>
  <c r="E59" i="12" s="1"/>
  <c r="E60" i="12" s="1"/>
  <c r="K60" i="12" s="1"/>
  <c r="M60" i="12" s="1"/>
  <c r="E85" i="12"/>
  <c r="E88" i="12" s="1"/>
  <c r="E89" i="12" s="1"/>
  <c r="J56" i="12"/>
  <c r="J59" i="12" s="1"/>
  <c r="J74" i="12"/>
  <c r="J85" i="12"/>
  <c r="J88" i="12" s="1"/>
  <c r="J89" i="12" s="1"/>
  <c r="J51" i="12"/>
  <c r="J55" i="12"/>
  <c r="J58" i="12" s="1"/>
  <c r="J61" i="12"/>
  <c r="J62" i="12" s="1"/>
  <c r="J63" i="12" s="1"/>
  <c r="J65" i="12"/>
  <c r="J70" i="12" s="1"/>
  <c r="J73" i="12"/>
  <c r="J79" i="12"/>
  <c r="J81" i="12" s="1"/>
  <c r="J82" i="12" s="1"/>
  <c r="J84" i="12"/>
  <c r="J90" i="12"/>
  <c r="J95" i="12"/>
  <c r="J99" i="12"/>
  <c r="J106" i="12"/>
  <c r="J110" i="12"/>
  <c r="J115" i="12"/>
  <c r="J120" i="12"/>
  <c r="J124" i="12"/>
  <c r="J130" i="12"/>
  <c r="J136" i="12"/>
  <c r="C56" i="12"/>
  <c r="C59" i="12" s="1"/>
  <c r="C74" i="12"/>
  <c r="C77" i="12" s="1"/>
  <c r="C85" i="12"/>
  <c r="C88" i="12" s="1"/>
  <c r="C89" i="12" s="1"/>
  <c r="C51" i="12"/>
  <c r="C55" i="12"/>
  <c r="C58" i="12" s="1"/>
  <c r="C61" i="12"/>
  <c r="C62" i="12" s="1"/>
  <c r="C63" i="12" s="1"/>
  <c r="C65" i="12"/>
  <c r="C70" i="12" s="1"/>
  <c r="C73" i="12"/>
  <c r="C79" i="12"/>
  <c r="C81" i="12" s="1"/>
  <c r="C82" i="12" s="1"/>
  <c r="C84" i="12"/>
  <c r="C90" i="12"/>
  <c r="C95" i="12"/>
  <c r="C99" i="12"/>
  <c r="C106" i="12"/>
  <c r="C110" i="12"/>
  <c r="C115" i="12"/>
  <c r="C120" i="12"/>
  <c r="C124" i="12"/>
  <c r="C130" i="12"/>
  <c r="C136" i="12"/>
  <c r="G56" i="12"/>
  <c r="G59" i="12" s="1"/>
  <c r="G60" i="12" s="1"/>
  <c r="G85" i="12"/>
  <c r="G88" i="12" s="1"/>
  <c r="G89" i="12" s="1"/>
  <c r="G51" i="12"/>
  <c r="G55" i="12"/>
  <c r="G61" i="12"/>
  <c r="G62" i="12" s="1"/>
  <c r="G63" i="12" s="1"/>
  <c r="G65" i="12"/>
  <c r="G70" i="12" s="1"/>
  <c r="G73" i="12"/>
  <c r="G76" i="12" s="1"/>
  <c r="G79" i="12"/>
  <c r="G81" i="12" s="1"/>
  <c r="G82" i="12" s="1"/>
  <c r="G84" i="12"/>
  <c r="G90" i="12"/>
  <c r="G95" i="12"/>
  <c r="G99" i="12"/>
  <c r="G106" i="12"/>
  <c r="G115" i="12"/>
  <c r="G119" i="12"/>
  <c r="G120" i="12"/>
  <c r="G124" i="12"/>
  <c r="G130" i="12"/>
  <c r="G136" i="12"/>
  <c r="G110" i="12"/>
  <c r="E84" i="12"/>
  <c r="E136" i="12"/>
  <c r="K136" i="12" s="1"/>
  <c r="M136" i="12" s="1"/>
  <c r="E124" i="12"/>
  <c r="E99" i="12"/>
  <c r="E110" i="12"/>
  <c r="E130" i="12"/>
  <c r="E120" i="12"/>
  <c r="E79" i="12"/>
  <c r="E95" i="12"/>
  <c r="E115" i="12"/>
  <c r="E106" i="12"/>
  <c r="E51" i="12"/>
  <c r="E61" i="12"/>
  <c r="E65" i="12"/>
  <c r="E55" i="12"/>
  <c r="E73" i="12"/>
  <c r="E90" i="12"/>
  <c r="H84" i="12"/>
  <c r="H136" i="12"/>
  <c r="H110" i="12"/>
  <c r="H99" i="12"/>
  <c r="H124" i="12"/>
  <c r="H95" i="12"/>
  <c r="H79" i="12"/>
  <c r="H130" i="12"/>
  <c r="H106" i="12"/>
  <c r="H115" i="12"/>
  <c r="H120" i="12"/>
  <c r="H73" i="12"/>
  <c r="H61" i="12"/>
  <c r="H62" i="12" s="1"/>
  <c r="H51" i="12"/>
  <c r="H52" i="12" s="1"/>
  <c r="L52" i="12" s="1"/>
  <c r="H55" i="12"/>
  <c r="H65" i="12"/>
  <c r="H90" i="12"/>
  <c r="I56" i="12"/>
  <c r="I85" i="12"/>
  <c r="I99" i="12"/>
  <c r="I124" i="12"/>
  <c r="I110" i="12"/>
  <c r="I136" i="12"/>
  <c r="I84" i="12"/>
  <c r="I115" i="12"/>
  <c r="I95" i="12"/>
  <c r="I79" i="12"/>
  <c r="I81" i="12" s="1"/>
  <c r="I106" i="12"/>
  <c r="I130" i="12"/>
  <c r="I120" i="12"/>
  <c r="I73" i="12"/>
  <c r="I76" i="12" s="1"/>
  <c r="I90" i="12"/>
  <c r="I65" i="12"/>
  <c r="I70" i="12" s="1"/>
  <c r="I55" i="12"/>
  <c r="I58" i="12" s="1"/>
  <c r="I51" i="12"/>
  <c r="I61" i="12"/>
  <c r="I62" i="12" s="1"/>
  <c r="I63" i="12" s="1"/>
  <c r="C87" i="12" l="1"/>
  <c r="K79" i="12"/>
  <c r="M79" i="12" s="1"/>
  <c r="K130" i="12"/>
  <c r="G87" i="12"/>
  <c r="K110" i="12"/>
  <c r="M110" i="12" s="1"/>
  <c r="J87" i="12"/>
  <c r="G58" i="12"/>
  <c r="J76" i="12"/>
  <c r="L65" i="12"/>
  <c r="H70" i="12"/>
  <c r="L70" i="12" s="1"/>
  <c r="H76" i="12"/>
  <c r="L73" i="12"/>
  <c r="L130" i="12"/>
  <c r="L99" i="12"/>
  <c r="H103" i="12"/>
  <c r="K55" i="12"/>
  <c r="E58" i="12"/>
  <c r="K106" i="12"/>
  <c r="K120" i="12"/>
  <c r="K124" i="12"/>
  <c r="H58" i="12"/>
  <c r="L55" i="12"/>
  <c r="L120" i="12"/>
  <c r="H121" i="12"/>
  <c r="H81" i="12"/>
  <c r="L79" i="12"/>
  <c r="L110" i="12"/>
  <c r="H112" i="12"/>
  <c r="K65" i="12"/>
  <c r="E70" i="12"/>
  <c r="K115" i="12"/>
  <c r="M115" i="12" s="1"/>
  <c r="C76" i="12"/>
  <c r="C53" i="12"/>
  <c r="C52" i="12"/>
  <c r="E81" i="12"/>
  <c r="E82" i="12" s="1"/>
  <c r="L90" i="12"/>
  <c r="L115" i="12"/>
  <c r="L95" i="12"/>
  <c r="K61" i="12"/>
  <c r="E62" i="12"/>
  <c r="E63" i="12" s="1"/>
  <c r="K63" i="12" s="1"/>
  <c r="M63" i="12" s="1"/>
  <c r="K95" i="12"/>
  <c r="K84" i="12"/>
  <c r="E87" i="12"/>
  <c r="G53" i="12"/>
  <c r="G52" i="12"/>
  <c r="J53" i="12"/>
  <c r="J52" i="12"/>
  <c r="I53" i="12"/>
  <c r="I52" i="12"/>
  <c r="I87" i="12"/>
  <c r="L61" i="12"/>
  <c r="L106" i="12"/>
  <c r="L124" i="12"/>
  <c r="H87" i="12"/>
  <c r="L84" i="12"/>
  <c r="K73" i="12"/>
  <c r="E76" i="12"/>
  <c r="E53" i="12"/>
  <c r="E52" i="12"/>
  <c r="K99" i="12"/>
  <c r="K90" i="12"/>
  <c r="C135" i="12"/>
  <c r="H135" i="12"/>
  <c r="G135" i="12"/>
  <c r="E135" i="12"/>
  <c r="L134" i="12"/>
  <c r="H53" i="12"/>
  <c r="H96" i="12" s="1"/>
  <c r="L51" i="12"/>
  <c r="K85" i="12"/>
  <c r="K56" i="12"/>
  <c r="K74" i="12"/>
  <c r="J77" i="12"/>
  <c r="K51" i="12"/>
  <c r="I59" i="12"/>
  <c r="I60" i="12" s="1"/>
  <c r="L56" i="12"/>
  <c r="L62" i="12"/>
  <c r="H63" i="12"/>
  <c r="L85" i="12"/>
  <c r="I88" i="12"/>
  <c r="I89" i="12" s="1"/>
  <c r="J118" i="12"/>
  <c r="J119" i="12" s="1"/>
  <c r="J135" i="12" s="1"/>
  <c r="M130" i="12" l="1"/>
  <c r="H117" i="12"/>
  <c r="H92" i="12"/>
  <c r="H127" i="12"/>
  <c r="H107" i="12"/>
  <c r="H134" i="12"/>
  <c r="H133" i="12" s="1"/>
  <c r="K81" i="12"/>
  <c r="M81" i="12" s="1"/>
  <c r="M61" i="12"/>
  <c r="K62" i="12"/>
  <c r="M62" i="12" s="1"/>
  <c r="M124" i="12"/>
  <c r="M106" i="12"/>
  <c r="M84" i="12"/>
  <c r="K87" i="12"/>
  <c r="M87" i="12" s="1"/>
  <c r="M51" i="12"/>
  <c r="K52" i="12"/>
  <c r="M52" i="12" s="1"/>
  <c r="M99" i="12"/>
  <c r="M90" i="12"/>
  <c r="M73" i="12"/>
  <c r="K76" i="12"/>
  <c r="M76" i="12" s="1"/>
  <c r="M95" i="12"/>
  <c r="M65" i="12"/>
  <c r="K70" i="12"/>
  <c r="M70" i="12" s="1"/>
  <c r="M120" i="12"/>
  <c r="M55" i="12"/>
  <c r="K58" i="12"/>
  <c r="M58" i="12" s="1"/>
  <c r="I135" i="12"/>
  <c r="I134" i="12" s="1"/>
  <c r="I133" i="12" s="1"/>
  <c r="K53" i="12"/>
  <c r="K59" i="12"/>
  <c r="M59" i="12" s="1"/>
  <c r="M56" i="12"/>
  <c r="K88" i="12"/>
  <c r="M85" i="12"/>
  <c r="K82" i="12"/>
  <c r="M82" i="12" s="1"/>
  <c r="M74" i="12"/>
  <c r="K77" i="12"/>
  <c r="M77" i="12" s="1"/>
  <c r="I92" i="12" l="1"/>
  <c r="I96" i="12"/>
  <c r="L96" i="12" s="1"/>
  <c r="I127" i="12"/>
  <c r="I117" i="12"/>
  <c r="I103" i="12"/>
  <c r="I112" i="12"/>
  <c r="I121" i="12"/>
  <c r="I107" i="12"/>
  <c r="M53" i="12"/>
  <c r="K128" i="12"/>
  <c r="M128" i="12" s="1"/>
  <c r="K89" i="12"/>
  <c r="M88" i="12"/>
  <c r="M89" i="12" l="1"/>
  <c r="K135" i="12"/>
  <c r="M135" i="12" l="1"/>
  <c r="E113" i="12"/>
  <c r="E118" i="12"/>
  <c r="K118" i="12" s="1"/>
  <c r="M118" i="12" s="1"/>
  <c r="J113" i="12"/>
  <c r="J128" i="12"/>
  <c r="J107" i="12"/>
  <c r="J112" i="12"/>
  <c r="J117" i="12"/>
  <c r="J121" i="12"/>
  <c r="J127" i="12"/>
  <c r="J103" i="12"/>
  <c r="J96" i="12"/>
  <c r="J92" i="12"/>
  <c r="G104" i="12"/>
  <c r="G105" i="12"/>
  <c r="G134" i="12" s="1"/>
  <c r="G113" i="12"/>
  <c r="G118" i="12"/>
  <c r="G128" i="12"/>
  <c r="G112" i="12"/>
  <c r="G121" i="12"/>
  <c r="G127" i="12"/>
  <c r="G107" i="12"/>
  <c r="G103" i="12"/>
  <c r="G96" i="12"/>
  <c r="G92" i="12"/>
  <c r="G117" i="12"/>
  <c r="E107" i="12"/>
  <c r="K107" i="12" s="1"/>
  <c r="M107" i="12" s="1"/>
  <c r="E92" i="12"/>
  <c r="K92" i="12" s="1"/>
  <c r="M92" i="12" s="1"/>
  <c r="E127" i="12"/>
  <c r="K127" i="12" s="1"/>
  <c r="M127" i="12" s="1"/>
  <c r="E96" i="12"/>
  <c r="K96" i="12" s="1"/>
  <c r="M96" i="12" s="1"/>
  <c r="E117" i="12"/>
  <c r="K117" i="12" s="1"/>
  <c r="M117" i="12" s="1"/>
  <c r="E121" i="12"/>
  <c r="K121" i="12" s="1"/>
  <c r="M121" i="12" s="1"/>
  <c r="E103" i="12"/>
  <c r="K103" i="12" s="1"/>
  <c r="M103" i="12" s="1"/>
  <c r="E112" i="12"/>
  <c r="K112" i="12" s="1"/>
  <c r="M112" i="12" s="1"/>
  <c r="C104" i="12"/>
  <c r="C105" i="12"/>
  <c r="C113" i="12"/>
  <c r="C128" i="12"/>
  <c r="C103" i="12"/>
  <c r="C107" i="12"/>
  <c r="C112" i="12"/>
  <c r="C117" i="12"/>
  <c r="C127" i="12"/>
  <c r="C96" i="12"/>
  <c r="C92" i="12"/>
  <c r="C121" i="12"/>
  <c r="J134" i="12" l="1"/>
  <c r="J133" i="12"/>
  <c r="G133" i="12"/>
  <c r="K113" i="12"/>
  <c r="C134" i="12"/>
  <c r="C133" i="12" s="1"/>
  <c r="E134" i="12"/>
  <c r="K134" i="12" s="1"/>
  <c r="M134" i="12" s="1"/>
  <c r="E133" i="12" l="1"/>
  <c r="K133" i="12" s="1"/>
  <c r="M133" i="12" s="1"/>
  <c r="M113" i="12"/>
</calcChain>
</file>

<file path=xl/comments1.xml><?xml version="1.0" encoding="utf-8"?>
<comments xmlns="http://schemas.openxmlformats.org/spreadsheetml/2006/main">
  <authors>
    <author>Thanos Germenlis</author>
  </authors>
  <commentList>
    <comment ref="A1" authorId="0" shapeId="0">
      <text>
        <r>
          <rPr>
            <b/>
            <sz val="10"/>
            <color indexed="81"/>
            <rFont val="Tahoma"/>
            <family val="2"/>
            <charset val="161"/>
          </rPr>
          <t>Version 2.0 Last Upd 2016-07-29
Γενικές Πληροφορίες:
1) Το πρόγραμμα μας ανοίγει πάντα στη σελίδα "Εισαγωγή Δεδομένων".
2) Η Σελίδα 1 περιλαμβάνει την αναφορά όπως θα εκτυπωθεί.
3) Μισή ώρα πριν τα μεσάνυχτα θα πρέπει να ελέγχονται από το Tankmaster όλες οι δεξαμενές και όπου βλέπουμε ότι το ραντάρ δεν δείχνει στάθμη ή θερμοκρασία, τότε δίνουμε χειροκίνητες τιμές (sensor value).</t>
        </r>
        <r>
          <rPr>
            <b/>
            <sz val="8"/>
            <color indexed="81"/>
            <rFont val="Tahoma"/>
            <family val="2"/>
            <charset val="161"/>
          </rPr>
          <t xml:space="preserve">
</t>
        </r>
      </text>
    </comment>
  </commentList>
</comments>
</file>

<file path=xl/sharedStrings.xml><?xml version="1.0" encoding="utf-8"?>
<sst xmlns="http://schemas.openxmlformats.org/spreadsheetml/2006/main" count="3178" uniqueCount="394">
  <si>
    <t>Δεξαμενή</t>
  </si>
  <si>
    <t>Προϊόν</t>
  </si>
  <si>
    <t>Ωφελ.  Όγκος m3</t>
  </si>
  <si>
    <t>Όγκος m3 στη θερμ.</t>
  </si>
  <si>
    <t>Όγκος m3 σε 15°C</t>
  </si>
  <si>
    <t>Ελεύθ. Χώρος</t>
  </si>
  <si>
    <t>Ημερήσια Διαφορά m3 σε 15°C</t>
  </si>
  <si>
    <t>Μη Αντλήσ. Αποθέματα</t>
  </si>
  <si>
    <t>Αντλήσιμα Αποθέματα</t>
  </si>
  <si>
    <t>Ημέρες για Πλήρωση</t>
  </si>
  <si>
    <t>Ημέρες για Άδειασμα</t>
  </si>
  <si>
    <t>Ειδ.Βάρος gr/cm3</t>
  </si>
  <si>
    <t>TK-801</t>
  </si>
  <si>
    <t/>
  </si>
  <si>
    <t>TK-802</t>
  </si>
  <si>
    <t>TK-803</t>
  </si>
  <si>
    <t>TK-804</t>
  </si>
  <si>
    <t>TK-805</t>
  </si>
  <si>
    <t>TK-806</t>
  </si>
  <si>
    <t>4180+1204</t>
  </si>
  <si>
    <t>TK-810</t>
  </si>
  <si>
    <t>TK-816</t>
  </si>
  <si>
    <t>TK-811</t>
  </si>
  <si>
    <t>TK-817</t>
  </si>
  <si>
    <t>TK-808</t>
  </si>
  <si>
    <t>TK-809</t>
  </si>
  <si>
    <t>183 + 22</t>
  </si>
  <si>
    <t>TK-1102</t>
  </si>
  <si>
    <t>TK-1104</t>
  </si>
  <si>
    <t>Varsol</t>
  </si>
  <si>
    <t>141 + 11</t>
  </si>
  <si>
    <t>TK-812</t>
  </si>
  <si>
    <t>TK-847</t>
  </si>
  <si>
    <t>TK-848</t>
  </si>
  <si>
    <t>553 + 115</t>
  </si>
  <si>
    <t>TK-858</t>
  </si>
  <si>
    <t>1639+ 339</t>
  </si>
  <si>
    <t>TK-1072</t>
  </si>
  <si>
    <t>TK-1075</t>
  </si>
  <si>
    <t>775 + 172</t>
  </si>
  <si>
    <t>TK-1073</t>
  </si>
  <si>
    <t>168 + 22</t>
  </si>
  <si>
    <t>TK-814</t>
  </si>
  <si>
    <t>456 + 75</t>
  </si>
  <si>
    <t>TK-815</t>
  </si>
  <si>
    <t>456 + 85</t>
  </si>
  <si>
    <t>TK-1071</t>
  </si>
  <si>
    <t>TK-833</t>
  </si>
  <si>
    <t>117 +  6</t>
  </si>
  <si>
    <t>TK-838</t>
  </si>
  <si>
    <t xml:space="preserve"> 70  +  4</t>
  </si>
  <si>
    <t>TK-818</t>
  </si>
  <si>
    <t>299 + 39</t>
  </si>
  <si>
    <t>TK-819</t>
  </si>
  <si>
    <t>299 + 35</t>
  </si>
  <si>
    <t>TK-807</t>
  </si>
  <si>
    <t>659 + 114</t>
  </si>
  <si>
    <t>TK-820</t>
  </si>
  <si>
    <t>479 + 78</t>
  </si>
  <si>
    <t>TK-821</t>
  </si>
  <si>
    <t>479 + 84</t>
  </si>
  <si>
    <t>TK-834</t>
  </si>
  <si>
    <t>632 + 58</t>
  </si>
  <si>
    <t>TK-840</t>
  </si>
  <si>
    <t>141 + 16</t>
  </si>
  <si>
    <t>TK-842</t>
  </si>
  <si>
    <t xml:space="preserve"> 39  +  4</t>
  </si>
  <si>
    <t>TK-822</t>
  </si>
  <si>
    <t>632 + 127</t>
  </si>
  <si>
    <t>TK-824</t>
  </si>
  <si>
    <t>479 +  84</t>
  </si>
  <si>
    <t>TK-825</t>
  </si>
  <si>
    <t>TK-836</t>
  </si>
  <si>
    <t>604 + 45</t>
  </si>
  <si>
    <t>TK-846</t>
  </si>
  <si>
    <t>1311+ 300</t>
  </si>
  <si>
    <t>TK-857</t>
  </si>
  <si>
    <t>964 + 182</t>
  </si>
  <si>
    <t>TK-813</t>
  </si>
  <si>
    <t xml:space="preserve"> 80 +  6</t>
  </si>
  <si>
    <t>TK-826</t>
  </si>
  <si>
    <t>123 + 12</t>
  </si>
  <si>
    <t>TK-835</t>
  </si>
  <si>
    <t>TK-1103</t>
  </si>
  <si>
    <t>TK-827</t>
  </si>
  <si>
    <t>TK-828</t>
  </si>
  <si>
    <t>TK-829</t>
  </si>
  <si>
    <t>TK-856</t>
  </si>
  <si>
    <t>1643+ 341</t>
  </si>
  <si>
    <t>TK-859</t>
  </si>
  <si>
    <t>TK-855</t>
  </si>
  <si>
    <t>TK-843</t>
  </si>
  <si>
    <t>237 + 32</t>
  </si>
  <si>
    <t>TK-844</t>
  </si>
  <si>
    <t>TK-845</t>
  </si>
  <si>
    <t>TK-830</t>
  </si>
  <si>
    <t>TK-831</t>
  </si>
  <si>
    <t>TK-832</t>
  </si>
  <si>
    <t>TK-837</t>
  </si>
  <si>
    <t>TK-841</t>
  </si>
  <si>
    <t>410xΎψος</t>
  </si>
  <si>
    <t>TK-1041</t>
  </si>
  <si>
    <t>111xΎψος</t>
  </si>
  <si>
    <t>TK-1042</t>
  </si>
  <si>
    <t>Ωφελ.Όγκος</t>
  </si>
  <si>
    <t>Σταθ.Δεξ.</t>
  </si>
  <si>
    <t xml:space="preserve">Μη Αντλήσ. </t>
  </si>
  <si>
    <t>(m3)</t>
  </si>
  <si>
    <t>m3/m+Κώνος</t>
  </si>
  <si>
    <t>Αποθέματα</t>
  </si>
  <si>
    <t>____________</t>
  </si>
  <si>
    <t>Ωφέλιμη Ποσότητα</t>
  </si>
  <si>
    <t>Απόθεμα</t>
  </si>
  <si>
    <t>TK-823</t>
  </si>
  <si>
    <t>TK-839</t>
  </si>
  <si>
    <t>kg</t>
  </si>
  <si>
    <t>D-802&amp;3</t>
  </si>
  <si>
    <t>Anti-icing</t>
  </si>
  <si>
    <t>Lit</t>
  </si>
  <si>
    <t>TK-XXX</t>
  </si>
  <si>
    <t>TK-852&amp;3</t>
  </si>
  <si>
    <t>TK-872</t>
  </si>
  <si>
    <t>TM-310</t>
  </si>
  <si>
    <t>Εξάνιο</t>
  </si>
  <si>
    <t>Προς---&gt;</t>
  </si>
  <si>
    <t>Χημικά</t>
  </si>
  <si>
    <t>TM-311</t>
  </si>
  <si>
    <t>Νάφθα</t>
  </si>
  <si>
    <t>TM-312</t>
  </si>
  <si>
    <t>Ημερήσια Τροφοδοσία Αργού   :</t>
  </si>
  <si>
    <t>m3x 6,29=</t>
  </si>
  <si>
    <t>Bbls</t>
  </si>
  <si>
    <t>Ο Εργοδηγός</t>
  </si>
  <si>
    <t>Συνολική Τροφοδοσία του Μήνα:</t>
  </si>
  <si>
    <t>Μέση Τροφοδοσία του Μήνα     :</t>
  </si>
  <si>
    <t>m3</t>
  </si>
  <si>
    <t>Ημερήσια Τροφοδοσία Αργού    (m3)     :</t>
  </si>
  <si>
    <r>
      <t>Θερμοκρ.</t>
    </r>
    <r>
      <rPr>
        <sz val="10"/>
        <rFont val="Arial Greek"/>
        <charset val="161"/>
      </rPr>
      <t xml:space="preserve"> °C</t>
    </r>
  </si>
  <si>
    <t>Σταθ.Δεξ. m3/m + Κώνος</t>
  </si>
  <si>
    <t>ΝΕΡΟ ΦΡΕΣΚΟ</t>
  </si>
  <si>
    <t>ΤΚ-865</t>
  </si>
  <si>
    <t>ΝΕΡΟ ΛΕΒΗΤΩΝ</t>
  </si>
  <si>
    <t>479 + 65</t>
  </si>
  <si>
    <t>2722+ 926</t>
  </si>
  <si>
    <t>2722+ 649</t>
  </si>
  <si>
    <t>2722+ 680</t>
  </si>
  <si>
    <t>701 + 169</t>
  </si>
  <si>
    <t>1368+ 269</t>
  </si>
  <si>
    <t>299 + 47</t>
  </si>
  <si>
    <t>110 + 11</t>
  </si>
  <si>
    <t>434 + 22</t>
  </si>
  <si>
    <t>1643+ 361</t>
  </si>
  <si>
    <t>197 + 25</t>
  </si>
  <si>
    <t>141 + 20</t>
  </si>
  <si>
    <t>358 + 49</t>
  </si>
  <si>
    <t>TK-881</t>
  </si>
  <si>
    <t>TK-882</t>
  </si>
  <si>
    <t>4676+1604</t>
  </si>
  <si>
    <t>4676+1531</t>
  </si>
  <si>
    <t>Mονάδα</t>
  </si>
  <si>
    <t>Μονάδα</t>
  </si>
  <si>
    <t>2722+ 870</t>
  </si>
  <si>
    <t>TK-862</t>
  </si>
  <si>
    <t>141 + 19</t>
  </si>
  <si>
    <t>337 + 16</t>
  </si>
  <si>
    <t>1643+ 342</t>
  </si>
  <si>
    <t>1289+ 130</t>
  </si>
  <si>
    <t>2123 + 459</t>
  </si>
  <si>
    <t>1290+ 343</t>
  </si>
  <si>
    <t>2722+ 678</t>
  </si>
  <si>
    <t>100 + 11</t>
  </si>
  <si>
    <t>1643+ 504</t>
  </si>
  <si>
    <t>552 + 79</t>
  </si>
  <si>
    <t>TK-6101</t>
  </si>
  <si>
    <t>Αριθμός Βυτίων BioDiesel</t>
  </si>
  <si>
    <t>TK-883</t>
  </si>
  <si>
    <t>TK-884</t>
  </si>
  <si>
    <t>141+11</t>
  </si>
  <si>
    <t>3635+1140</t>
  </si>
  <si>
    <t>3633+1006</t>
  </si>
  <si>
    <t>TK-886</t>
  </si>
  <si>
    <t>TK-885</t>
  </si>
  <si>
    <t>3633+850</t>
  </si>
  <si>
    <t>805+64</t>
  </si>
  <si>
    <t>744 + 155</t>
  </si>
  <si>
    <t>1321+ 370</t>
  </si>
  <si>
    <t>3636+760</t>
  </si>
  <si>
    <t>TK-861A</t>
  </si>
  <si>
    <t>OFI 7669C</t>
  </si>
  <si>
    <t xml:space="preserve"> </t>
  </si>
  <si>
    <t>7/20/2016 1</t>
  </si>
  <si>
    <t>Θερμοκρ. °C</t>
  </si>
  <si>
    <t xml:space="preserve">     ΕΛΛΗΝΙΚΑ ΠΕΤΡΕΛΑΙΑ  -  ΔΙΥΛΙΣΤΗΡΙΟ ΘΕΣΣΑΛΟΝΙΚΗΣ</t>
  </si>
  <si>
    <t>ΗΜΕΡΗΣΙΑ   ΚΑΤΑΓΡΑΦΗ   ΑΠΟΘΕΜΑΤΩΝ  ΤΗΣ</t>
  </si>
  <si>
    <t xml:space="preserve">CHIMEK 9739 </t>
  </si>
  <si>
    <t>Daily Stock Report Ver 2.05 - Last Upd 2018-03-28</t>
  </si>
  <si>
    <t>Tank</t>
  </si>
  <si>
    <t>Product</t>
  </si>
  <si>
    <t>Level(m)</t>
  </si>
  <si>
    <t>GOV (m3)</t>
  </si>
  <si>
    <t>Temp(°C)</t>
  </si>
  <si>
    <t>AVRM (m3)</t>
  </si>
  <si>
    <t>NSV (m3)</t>
  </si>
  <si>
    <t>Dens</t>
  </si>
  <si>
    <t>Status</t>
  </si>
  <si>
    <t>NSVDiff</t>
  </si>
  <si>
    <t>________________</t>
  </si>
  <si>
    <t>___________</t>
  </si>
  <si>
    <t>__________</t>
  </si>
  <si>
    <t>________</t>
  </si>
  <si>
    <t>01 Crude Oil</t>
  </si>
  <si>
    <t>LoLo</t>
  </si>
  <si>
    <t>0.000</t>
  </si>
  <si>
    <t>02 Propane</t>
  </si>
  <si>
    <t>503.0</t>
  </si>
  <si>
    <t>03 Butane</t>
  </si>
  <si>
    <t>04 LPG</t>
  </si>
  <si>
    <t>05 Naptha</t>
  </si>
  <si>
    <t>06 Hexane</t>
  </si>
  <si>
    <t>08 M.T.B.E</t>
  </si>
  <si>
    <t>08 Unleaded 95</t>
  </si>
  <si>
    <t>08 Unleaded 98</t>
  </si>
  <si>
    <t>11 PF/Feed</t>
  </si>
  <si>
    <t>13 Bio</t>
  </si>
  <si>
    <t>15 JP-1A</t>
  </si>
  <si>
    <t>16 Heating Oil</t>
  </si>
  <si>
    <t>17 Dies BIO</t>
  </si>
  <si>
    <t>17 Diesel</t>
  </si>
  <si>
    <t>18 Diesel Mar</t>
  </si>
  <si>
    <t>19 Diesel Mil</t>
  </si>
  <si>
    <t>26 FO SR</t>
  </si>
  <si>
    <t>27 FO Low sulf</t>
  </si>
  <si>
    <t>28 FO LS No1</t>
  </si>
  <si>
    <t>28 FO LS No3</t>
  </si>
  <si>
    <t>28 VGO</t>
  </si>
  <si>
    <t>29 AS 50/70</t>
  </si>
  <si>
    <t>1034.0</t>
  </si>
  <si>
    <t>1035.0</t>
  </si>
  <si>
    <t>15.0</t>
  </si>
  <si>
    <t>Crude Oil</t>
  </si>
  <si>
    <t>LPG</t>
  </si>
  <si>
    <t>11.8</t>
  </si>
  <si>
    <t>16.0</t>
  </si>
  <si>
    <t>14.5</t>
  </si>
  <si>
    <t>10.9</t>
  </si>
  <si>
    <t>15.4</t>
  </si>
  <si>
    <t>CFail</t>
  </si>
  <si>
    <t>12.6</t>
  </si>
  <si>
    <t>12.3</t>
  </si>
  <si>
    <t>14.3</t>
  </si>
  <si>
    <t>790.6</t>
  </si>
  <si>
    <t>17.7</t>
  </si>
  <si>
    <t>12.7</t>
  </si>
  <si>
    <t>-0.120</t>
  </si>
  <si>
    <t>-0.005</t>
  </si>
  <si>
    <t>829.6</t>
  </si>
  <si>
    <t>High</t>
  </si>
  <si>
    <t>27.0</t>
  </si>
  <si>
    <t>834.6</t>
  </si>
  <si>
    <t>16.8</t>
  </si>
  <si>
    <t>845.0</t>
  </si>
  <si>
    <t>21.6</t>
  </si>
  <si>
    <t>845.1</t>
  </si>
  <si>
    <t>17.6</t>
  </si>
  <si>
    <t>876.0</t>
  </si>
  <si>
    <t>872.0</t>
  </si>
  <si>
    <t>17.3</t>
  </si>
  <si>
    <t>802.0</t>
  </si>
  <si>
    <t>16.1</t>
  </si>
  <si>
    <t>863.4</t>
  </si>
  <si>
    <t>16.4</t>
  </si>
  <si>
    <t>799.6</t>
  </si>
  <si>
    <t>16.5</t>
  </si>
  <si>
    <t>847.8</t>
  </si>
  <si>
    <t>17.8</t>
  </si>
  <si>
    <t>11.4</t>
  </si>
  <si>
    <t>572.1</t>
  </si>
  <si>
    <t>-0.088</t>
  </si>
  <si>
    <t>18.1</t>
  </si>
  <si>
    <t>560.0</t>
  </si>
  <si>
    <t>559.2</t>
  </si>
  <si>
    <t>12.0</t>
  </si>
  <si>
    <t>705.7</t>
  </si>
  <si>
    <t>1.7</t>
  </si>
  <si>
    <t>707.0</t>
  </si>
  <si>
    <t>673.3</t>
  </si>
  <si>
    <t>746.1</t>
  </si>
  <si>
    <t>20.1</t>
  </si>
  <si>
    <t>739.1</t>
  </si>
  <si>
    <t>11.7</t>
  </si>
  <si>
    <t>739.8</t>
  </si>
  <si>
    <t>14.7</t>
  </si>
  <si>
    <t>747.0</t>
  </si>
  <si>
    <t>17.4</t>
  </si>
  <si>
    <t>734.5</t>
  </si>
  <si>
    <t>742.9</t>
  </si>
  <si>
    <t>15.6</t>
  </si>
  <si>
    <t>741.6</t>
  </si>
  <si>
    <t>18.0</t>
  </si>
  <si>
    <t>758.7</t>
  </si>
  <si>
    <t>738.7</t>
  </si>
  <si>
    <t>13.1</t>
  </si>
  <si>
    <t>740.0</t>
  </si>
  <si>
    <t>7.3</t>
  </si>
  <si>
    <t>727.3</t>
  </si>
  <si>
    <t>0.553</t>
  </si>
  <si>
    <t>882.2</t>
  </si>
  <si>
    <t>0.955</t>
  </si>
  <si>
    <t>786.3</t>
  </si>
  <si>
    <t>Low</t>
  </si>
  <si>
    <t>0.891</t>
  </si>
  <si>
    <t>785.2</t>
  </si>
  <si>
    <t>0.387</t>
  </si>
  <si>
    <t>17.5</t>
  </si>
  <si>
    <t>15.1</t>
  </si>
  <si>
    <t>787.7</t>
  </si>
  <si>
    <t>793.6</t>
  </si>
  <si>
    <t>13.9</t>
  </si>
  <si>
    <t>834.5</t>
  </si>
  <si>
    <t>23.3</t>
  </si>
  <si>
    <t>843.0</t>
  </si>
  <si>
    <t>836.4</t>
  </si>
  <si>
    <t>-0.479</t>
  </si>
  <si>
    <t>0.605</t>
  </si>
  <si>
    <t>11.3</t>
  </si>
  <si>
    <t>827.7</t>
  </si>
  <si>
    <t>0.799</t>
  </si>
  <si>
    <t>12.8</t>
  </si>
  <si>
    <t>827.6</t>
  </si>
  <si>
    <t>827.3</t>
  </si>
  <si>
    <t>826.3</t>
  </si>
  <si>
    <t>22.6</t>
  </si>
  <si>
    <t>826.6</t>
  </si>
  <si>
    <t>838.0</t>
  </si>
  <si>
    <t>0.280</t>
  </si>
  <si>
    <t>838.9</t>
  </si>
  <si>
    <t>812.3</t>
  </si>
  <si>
    <t>0.676</t>
  </si>
  <si>
    <t>61.7</t>
  </si>
  <si>
    <t>967.9</t>
  </si>
  <si>
    <t>0.437</t>
  </si>
  <si>
    <t>71.0</t>
  </si>
  <si>
    <t>964.5</t>
  </si>
  <si>
    <t>0.499</t>
  </si>
  <si>
    <t>34.5</t>
  </si>
  <si>
    <t>963.4</t>
  </si>
  <si>
    <t>0.519</t>
  </si>
  <si>
    <t>965.0</t>
  </si>
  <si>
    <t>69.0</t>
  </si>
  <si>
    <t>988.7</t>
  </si>
  <si>
    <t>60.1</t>
  </si>
  <si>
    <t>977.5</t>
  </si>
  <si>
    <t>0.966</t>
  </si>
  <si>
    <t>26.2</t>
  </si>
  <si>
    <t>0.386</t>
  </si>
  <si>
    <t>60.9</t>
  </si>
  <si>
    <t>985.0</t>
  </si>
  <si>
    <t>63.6</t>
  </si>
  <si>
    <t>985.8</t>
  </si>
  <si>
    <t>55.9</t>
  </si>
  <si>
    <t>921.7</t>
  </si>
  <si>
    <t>0.691</t>
  </si>
  <si>
    <t>118.7</t>
  </si>
  <si>
    <t>132.3</t>
  </si>
  <si>
    <t>0.797</t>
  </si>
  <si>
    <t>109.5</t>
  </si>
  <si>
    <t>0.696</t>
  </si>
  <si>
    <t>Σύνολα</t>
  </si>
  <si>
    <t>Propane</t>
  </si>
  <si>
    <t>Butane</t>
  </si>
  <si>
    <t>Naptha</t>
  </si>
  <si>
    <t>Hexane</t>
  </si>
  <si>
    <t>M.T.B.E</t>
  </si>
  <si>
    <t>Unleaded 95</t>
  </si>
  <si>
    <t>Unleaded 98</t>
  </si>
  <si>
    <t>PF/Feed</t>
  </si>
  <si>
    <t>Bio</t>
  </si>
  <si>
    <t>JP-1A</t>
  </si>
  <si>
    <t>Heating Oil</t>
  </si>
  <si>
    <t>Dies BIO</t>
  </si>
  <si>
    <t>Diesel</t>
  </si>
  <si>
    <t>Diesel Mar</t>
  </si>
  <si>
    <t>Diesel Mil</t>
  </si>
  <si>
    <t>FO SR</t>
  </si>
  <si>
    <t>FO Low sulf</t>
  </si>
  <si>
    <t>FO LS No1</t>
  </si>
  <si>
    <t>FO LS No3</t>
  </si>
  <si>
    <t>VGO</t>
  </si>
  <si>
    <t>AS 50/70</t>
  </si>
  <si>
    <t>31 Ballast</t>
  </si>
  <si>
    <t>10.7</t>
  </si>
  <si>
    <t>805.0</t>
  </si>
  <si>
    <t>779.2</t>
  </si>
  <si>
    <t>Ballast</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</si>
</sst>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d\-mmm\-yyyy"/>
    <numFmt numFmtId="165" formatCode="0.0000"/>
    <numFmt numFmtId="166" formatCode="0.0"/>
  </numFmts>
  <fonts count="14" x14ac:knownFonts="1">
    <font>
      <sz val="10"/>
      <name val="Arial Greek"/>
      <charset val="161"/>
    </font>
    <font>
      <sz val="9"/>
      <name val="Arial Greek"/>
      <family val="2"/>
      <charset val="161"/>
    </font>
    <font>
      <b/>
      <sz val="11"/>
      <name val="Arial Greek"/>
      <family val="2"/>
      <charset val="161"/>
    </font>
    <font>
      <sz val="10"/>
      <name val="Arial Greek"/>
      <family val="2"/>
      <charset val="161"/>
    </font>
    <font>
      <b/>
      <sz val="8"/>
      <color indexed="81"/>
      <name val="Tahoma"/>
      <family val="2"/>
      <charset val="161"/>
    </font>
    <font>
      <b/>
      <sz val="10"/>
      <color indexed="10"/>
      <name val="Arial Greek"/>
      <family val="2"/>
      <charset val="161"/>
    </font>
    <font>
      <b/>
      <sz val="10"/>
      <color indexed="81"/>
      <name val="Tahoma"/>
      <family val="2"/>
      <charset val="161"/>
    </font>
    <font>
      <sz val="10"/>
      <name val="Arial Narrow"/>
      <family val="2"/>
      <charset val="161"/>
    </font>
    <font>
      <sz val="8"/>
      <name val="Arial Greek"/>
      <family val="2"/>
      <charset val="161"/>
    </font>
    <font>
      <b/>
      <sz val="10"/>
      <name val="Arial Greek"/>
      <family val="2"/>
      <charset val="161"/>
    </font>
    <font>
      <b/>
      <sz val="10"/>
      <color indexed="13"/>
      <name val="Arial Greek"/>
      <charset val="161"/>
    </font>
    <font>
      <sz val="10"/>
      <color indexed="18"/>
      <name val="Arial Greek"/>
      <charset val="161"/>
    </font>
    <font>
      <b/>
      <sz val="8"/>
      <color rgb="FFFF0000"/>
      <name val="Arial Greek"/>
      <charset val="161"/>
    </font>
    <font>
      <b/>
      <sz val="8"/>
      <color rgb="FF00B050"/>
      <name val="Arial Greek"/>
      <charset val="161"/>
    </font>
  </fonts>
  <fills count="8">
    <fill>
      <patternFill patternType="none"/>
    </fill>
    <fill>
      <patternFill patternType="gray125"/>
    </fill>
    <fill>
      <patternFill patternType="solid">
        <fgColor indexed="22"/>
        <bgColor indexed="64"/>
      </patternFill>
    </fill>
    <fill>
      <patternFill patternType="lightHorizontal">
        <fgColor indexed="27"/>
        <bgColor indexed="27"/>
      </patternFill>
    </fill>
    <fill>
      <patternFill patternType="solid">
        <fgColor indexed="12"/>
        <bgColor indexed="64"/>
      </patternFill>
    </fill>
    <fill>
      <patternFill patternType="solid">
        <fgColor indexed="47"/>
        <bgColor indexed="64"/>
      </patternFill>
    </fill>
    <fill>
      <patternFill patternType="solid">
        <fgColor indexed="13"/>
        <bgColor indexed="64"/>
      </patternFill>
    </fill>
    <fill>
      <patternFill patternType="solid">
        <fgColor indexed="9"/>
        <bgColor indexed="64"/>
      </patternFill>
    </fill>
  </fills>
  <borders count="34">
    <border>
      <left/>
      <right/>
      <top/>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bottom/>
      <diagonal/>
    </border>
    <border>
      <left style="thin">
        <color indexed="64"/>
      </left>
      <right style="thin">
        <color indexed="64"/>
      </right>
      <top style="medium">
        <color indexed="64"/>
      </top>
      <bottom/>
      <diagonal/>
    </border>
    <border>
      <left style="thin">
        <color indexed="64"/>
      </left>
      <right style="thin">
        <color indexed="64"/>
      </right>
      <top/>
      <bottom style="medium">
        <color indexed="64"/>
      </bottom>
      <diagonal/>
    </border>
    <border>
      <left style="medium">
        <color indexed="64"/>
      </left>
      <right/>
      <top style="medium">
        <color indexed="64"/>
      </top>
      <bottom/>
      <diagonal/>
    </border>
    <border>
      <left style="thin">
        <color indexed="64"/>
      </left>
      <right style="medium">
        <color indexed="64"/>
      </right>
      <top/>
      <bottom/>
      <diagonal/>
    </border>
    <border>
      <left style="thin">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style="thin">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right style="medium">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hair">
        <color indexed="64"/>
      </right>
      <top style="thin">
        <color indexed="64"/>
      </top>
      <bottom style="medium">
        <color indexed="64"/>
      </bottom>
      <diagonal/>
    </border>
    <border>
      <left style="hair">
        <color indexed="64"/>
      </left>
      <right style="hair">
        <color indexed="64"/>
      </right>
      <top style="thin">
        <color indexed="64"/>
      </top>
      <bottom style="medium">
        <color indexed="64"/>
      </bottom>
      <diagonal/>
    </border>
    <border>
      <left style="hair">
        <color indexed="64"/>
      </left>
      <right style="medium">
        <color indexed="64"/>
      </right>
      <top style="thin">
        <color indexed="64"/>
      </top>
      <bottom style="medium">
        <color indexed="64"/>
      </bottom>
      <diagonal/>
    </border>
    <border>
      <left style="medium">
        <color indexed="64"/>
      </left>
      <right style="hair">
        <color indexed="64"/>
      </right>
      <top style="medium">
        <color indexed="64"/>
      </top>
      <bottom style="medium">
        <color indexed="64"/>
      </bottom>
      <diagonal/>
    </border>
    <border>
      <left style="hair">
        <color indexed="64"/>
      </left>
      <right style="hair">
        <color indexed="64"/>
      </right>
      <top style="medium">
        <color indexed="64"/>
      </top>
      <bottom style="medium">
        <color indexed="64"/>
      </bottom>
      <diagonal/>
    </border>
    <border>
      <left style="hair">
        <color indexed="64"/>
      </left>
      <right style="medium">
        <color indexed="64"/>
      </right>
      <top style="medium">
        <color indexed="64"/>
      </top>
      <bottom style="medium">
        <color indexed="64"/>
      </bottom>
      <diagonal/>
    </border>
    <border>
      <left style="medium">
        <color indexed="64"/>
      </left>
      <right style="hair">
        <color indexed="64"/>
      </right>
      <top/>
      <bottom/>
      <diagonal/>
    </border>
    <border>
      <left style="hair">
        <color indexed="64"/>
      </left>
      <right style="hair">
        <color indexed="64"/>
      </right>
      <top/>
      <bottom/>
      <diagonal/>
    </border>
    <border>
      <left style="hair">
        <color indexed="64"/>
      </left>
      <right style="medium">
        <color indexed="64"/>
      </right>
      <top/>
      <bottom/>
      <diagonal/>
    </border>
  </borders>
  <cellStyleXfs count="1">
    <xf numFmtId="0" fontId="0" fillId="0" borderId="0"/>
  </cellStyleXfs>
  <cellXfs count="122">
    <xf numFmtId="0" fontId="0" fillId="0" borderId="0" xfId="0"/>
    <xf numFmtId="14" fontId="0" fillId="0" borderId="0" xfId="0" applyNumberFormat="1"/>
    <xf numFmtId="0" fontId="0" fillId="0" borderId="0" xfId="0" applyAlignment="1">
      <alignment horizontal="center" vertical="center" wrapText="1"/>
    </xf>
    <xf numFmtId="0" fontId="1" fillId="0" borderId="0" xfId="0" applyFont="1" applyAlignment="1">
      <alignment horizontal="center" vertical="center" wrapText="1"/>
    </xf>
    <xf numFmtId="0" fontId="0" fillId="0" borderId="0" xfId="0" applyNumberFormat="1"/>
    <xf numFmtId="0" fontId="0" fillId="0" borderId="0" xfId="0" applyAlignment="1">
      <alignment vertical="center" wrapText="1"/>
    </xf>
    <xf numFmtId="0" fontId="0" fillId="0" borderId="0" xfId="0" applyAlignment="1">
      <alignment horizontal="center"/>
    </xf>
    <xf numFmtId="0" fontId="0" fillId="0" borderId="1" xfId="0" applyBorder="1"/>
    <xf numFmtId="0" fontId="0" fillId="0" borderId="2" xfId="0" applyBorder="1"/>
    <xf numFmtId="0" fontId="0" fillId="0" borderId="3" xfId="0" applyBorder="1" applyAlignment="1">
      <alignment horizontal="center" vertical="center"/>
    </xf>
    <xf numFmtId="0" fontId="0" fillId="0" borderId="4" xfId="0" applyBorder="1" applyAlignment="1">
      <alignment horizontal="center" vertical="center"/>
    </xf>
    <xf numFmtId="0" fontId="0" fillId="0" borderId="4" xfId="0" applyBorder="1" applyAlignment="1">
      <alignment horizontal="center" vertical="center" wrapText="1"/>
    </xf>
    <xf numFmtId="0" fontId="0" fillId="0" borderId="5" xfId="0" applyBorder="1" applyAlignment="1">
      <alignment horizontal="center" vertical="center" wrapText="1"/>
    </xf>
    <xf numFmtId="0" fontId="0" fillId="0" borderId="6" xfId="0" applyBorder="1"/>
    <xf numFmtId="0" fontId="0" fillId="0" borderId="6" xfId="0" applyBorder="1" applyAlignment="1">
      <alignment horizontal="center"/>
    </xf>
    <xf numFmtId="0" fontId="0" fillId="0" borderId="7" xfId="0" applyBorder="1"/>
    <xf numFmtId="0" fontId="0" fillId="0" borderId="7" xfId="0" applyBorder="1" applyAlignment="1">
      <alignment horizontal="center"/>
    </xf>
    <xf numFmtId="0" fontId="0" fillId="0" borderId="8" xfId="0" applyBorder="1"/>
    <xf numFmtId="0" fontId="0" fillId="0" borderId="8" xfId="0" applyBorder="1" applyAlignment="1">
      <alignment horizontal="center"/>
    </xf>
    <xf numFmtId="0" fontId="0" fillId="0" borderId="9" xfId="0" applyBorder="1"/>
    <xf numFmtId="0" fontId="0" fillId="2" borderId="0" xfId="0" applyFill="1"/>
    <xf numFmtId="0" fontId="0" fillId="0" borderId="10" xfId="0" applyBorder="1" applyProtection="1">
      <protection locked="0"/>
    </xf>
    <xf numFmtId="0" fontId="0" fillId="0" borderId="11" xfId="0" applyBorder="1" applyProtection="1">
      <protection locked="0"/>
    </xf>
    <xf numFmtId="0" fontId="0" fillId="0" borderId="0" xfId="0" applyBorder="1"/>
    <xf numFmtId="0" fontId="0" fillId="0" borderId="12" xfId="0" applyBorder="1" applyAlignment="1">
      <alignment horizontal="center" vertical="center"/>
    </xf>
    <xf numFmtId="0" fontId="0" fillId="0" borderId="13" xfId="0" applyBorder="1" applyAlignment="1">
      <alignment horizontal="center" vertical="center" wrapText="1"/>
    </xf>
    <xf numFmtId="0" fontId="1" fillId="0" borderId="13" xfId="0" applyFont="1" applyBorder="1" applyAlignment="1">
      <alignment horizontal="center" vertical="center" wrapText="1"/>
    </xf>
    <xf numFmtId="0" fontId="1" fillId="0" borderId="14" xfId="0" applyFont="1" applyBorder="1" applyAlignment="1">
      <alignment horizontal="center" vertical="center" wrapText="1"/>
    </xf>
    <xf numFmtId="164" fontId="0" fillId="0" borderId="0" xfId="0" applyNumberFormat="1" applyAlignment="1">
      <alignment horizontal="left"/>
    </xf>
    <xf numFmtId="165" fontId="0" fillId="0" borderId="0" xfId="0" applyNumberFormat="1" applyAlignment="1">
      <alignment horizontal="center"/>
    </xf>
    <xf numFmtId="14" fontId="0" fillId="0" borderId="0" xfId="0" applyNumberFormat="1" applyAlignment="1">
      <alignment horizontal="center"/>
    </xf>
    <xf numFmtId="166" fontId="0" fillId="0" borderId="0" xfId="0" applyNumberFormat="1" applyAlignment="1">
      <alignment horizontal="center"/>
    </xf>
    <xf numFmtId="0" fontId="0" fillId="3" borderId="5" xfId="0" applyFill="1" applyBorder="1"/>
    <xf numFmtId="0" fontId="0" fillId="3" borderId="15" xfId="0" applyFill="1" applyBorder="1"/>
    <xf numFmtId="0" fontId="3" fillId="3" borderId="3" xfId="0" applyFont="1" applyFill="1" applyBorder="1" applyAlignment="1">
      <alignment horizontal="center" vertical="center"/>
    </xf>
    <xf numFmtId="0" fontId="3" fillId="3" borderId="4" xfId="0" applyFont="1" applyFill="1" applyBorder="1" applyAlignment="1">
      <alignment horizontal="center" vertical="center"/>
    </xf>
    <xf numFmtId="0" fontId="3" fillId="3" borderId="4" xfId="0" applyFont="1" applyFill="1" applyBorder="1" applyAlignment="1">
      <alignment horizontal="center" vertical="center" wrapText="1"/>
    </xf>
    <xf numFmtId="0" fontId="3" fillId="3" borderId="1" xfId="0" applyFont="1" applyFill="1" applyBorder="1"/>
    <xf numFmtId="0" fontId="3" fillId="3" borderId="6" xfId="0" applyFont="1" applyFill="1" applyBorder="1"/>
    <xf numFmtId="0" fontId="3" fillId="3" borderId="6" xfId="0" applyFont="1" applyFill="1" applyBorder="1" applyAlignment="1">
      <alignment horizontal="center"/>
    </xf>
    <xf numFmtId="0" fontId="3" fillId="3" borderId="12" xfId="0" applyFont="1" applyFill="1" applyBorder="1"/>
    <xf numFmtId="0" fontId="3" fillId="3" borderId="4" xfId="0" applyFont="1" applyFill="1" applyBorder="1"/>
    <xf numFmtId="0" fontId="3" fillId="3" borderId="4" xfId="0" applyFont="1" applyFill="1" applyBorder="1" applyAlignment="1">
      <alignment horizontal="center"/>
    </xf>
    <xf numFmtId="0" fontId="3" fillId="3" borderId="2" xfId="0" applyFont="1" applyFill="1" applyBorder="1"/>
    <xf numFmtId="0" fontId="3" fillId="3" borderId="8" xfId="0" applyFont="1" applyFill="1" applyBorder="1"/>
    <xf numFmtId="0" fontId="3" fillId="3" borderId="8" xfId="0" applyFont="1" applyFill="1" applyBorder="1" applyAlignment="1">
      <alignment horizontal="center"/>
    </xf>
    <xf numFmtId="0" fontId="3" fillId="3" borderId="16" xfId="0" applyFont="1" applyFill="1" applyBorder="1"/>
    <xf numFmtId="0" fontId="3" fillId="3" borderId="0" xfId="0" applyFont="1" applyFill="1" applyBorder="1"/>
    <xf numFmtId="0" fontId="3" fillId="3" borderId="18" xfId="0" applyFont="1" applyFill="1" applyBorder="1"/>
    <xf numFmtId="0" fontId="3" fillId="3" borderId="5" xfId="0" applyFont="1" applyFill="1" applyBorder="1" applyAlignment="1">
      <alignment horizontal="center" vertical="center" wrapText="1"/>
    </xf>
    <xf numFmtId="0" fontId="0" fillId="0" borderId="19" xfId="0" applyBorder="1" applyProtection="1">
      <protection locked="0"/>
    </xf>
    <xf numFmtId="0" fontId="0" fillId="0" borderId="0" xfId="0" applyProtection="1">
      <protection locked="0"/>
    </xf>
    <xf numFmtId="0" fontId="0" fillId="0" borderId="0" xfId="0" applyProtection="1"/>
    <xf numFmtId="164" fontId="0" fillId="0" borderId="0" xfId="0" applyNumberFormat="1" applyProtection="1">
      <protection locked="0"/>
    </xf>
    <xf numFmtId="0" fontId="0" fillId="0" borderId="0" xfId="0" applyBorder="1" applyAlignment="1">
      <alignment horizontal="center"/>
    </xf>
    <xf numFmtId="0" fontId="0" fillId="0" borderId="0" xfId="0" applyBorder="1" applyProtection="1"/>
    <xf numFmtId="0" fontId="2" fillId="0" borderId="0" xfId="0" applyFont="1" applyBorder="1" applyProtection="1"/>
    <xf numFmtId="0" fontId="2" fillId="0" borderId="0" xfId="0" applyFont="1" applyBorder="1" applyAlignment="1" applyProtection="1">
      <alignment vertical="center"/>
    </xf>
    <xf numFmtId="46" fontId="2" fillId="0" borderId="0" xfId="0" applyNumberFormat="1" applyFont="1" applyBorder="1" applyAlignment="1" applyProtection="1">
      <alignment vertical="center"/>
    </xf>
    <xf numFmtId="0" fontId="0" fillId="0" borderId="0" xfId="0" applyNumberFormat="1" applyAlignment="1"/>
    <xf numFmtId="0" fontId="0" fillId="0" borderId="20" xfId="0" applyNumberFormat="1" applyBorder="1" applyAlignment="1"/>
    <xf numFmtId="0" fontId="0" fillId="0" borderId="0" xfId="0" applyNumberFormat="1" applyBorder="1" applyAlignment="1"/>
    <xf numFmtId="0" fontId="0" fillId="0" borderId="13" xfId="0" applyNumberFormat="1" applyBorder="1" applyAlignment="1">
      <alignment horizontal="center"/>
    </xf>
    <xf numFmtId="0" fontId="0" fillId="0" borderId="20" xfId="0" applyNumberFormat="1" applyBorder="1" applyAlignment="1">
      <alignment horizontal="center"/>
    </xf>
    <xf numFmtId="0" fontId="1" fillId="0" borderId="13" xfId="0" applyNumberFormat="1" applyFont="1" applyBorder="1" applyAlignment="1"/>
    <xf numFmtId="0" fontId="1" fillId="0" borderId="20" xfId="0" applyNumberFormat="1" applyFont="1" applyBorder="1" applyAlignment="1"/>
    <xf numFmtId="0" fontId="1" fillId="0" borderId="14" xfId="0" applyNumberFormat="1" applyFont="1" applyBorder="1" applyAlignment="1"/>
    <xf numFmtId="0" fontId="0" fillId="0" borderId="0" xfId="0" applyNumberFormat="1" applyAlignment="1">
      <alignment horizontal="left"/>
    </xf>
    <xf numFmtId="0" fontId="0" fillId="0" borderId="0" xfId="0" applyNumberFormat="1" applyAlignment="1">
      <alignment horizontal="right"/>
    </xf>
    <xf numFmtId="0" fontId="3" fillId="0" borderId="0" xfId="0" applyNumberFormat="1" applyFont="1" applyBorder="1" applyAlignment="1"/>
    <xf numFmtId="0" fontId="0" fillId="0" borderId="0" xfId="0" applyNumberFormat="1" applyBorder="1" applyAlignment="1">
      <alignment horizontal="left"/>
    </xf>
    <xf numFmtId="0" fontId="0" fillId="0" borderId="0" xfId="0" applyNumberFormat="1" applyBorder="1"/>
    <xf numFmtId="0" fontId="0" fillId="0" borderId="0" xfId="0" applyNumberFormat="1" applyBorder="1" applyAlignment="1">
      <alignment horizontal="right"/>
    </xf>
    <xf numFmtId="0" fontId="0" fillId="0" borderId="13" xfId="0" applyNumberFormat="1" applyBorder="1" applyAlignment="1"/>
    <xf numFmtId="0" fontId="1" fillId="0" borderId="6" xfId="0" applyFont="1" applyBorder="1"/>
    <xf numFmtId="0" fontId="1" fillId="3" borderId="6" xfId="0" applyFont="1" applyFill="1" applyBorder="1"/>
    <xf numFmtId="0" fontId="7" fillId="0" borderId="6" xfId="0" applyFont="1" applyBorder="1"/>
    <xf numFmtId="0" fontId="7" fillId="3" borderId="6" xfId="0" applyFont="1" applyFill="1" applyBorder="1"/>
    <xf numFmtId="0" fontId="0" fillId="2" borderId="0" xfId="0" applyFill="1" applyBorder="1"/>
    <xf numFmtId="0" fontId="8" fillId="0" borderId="0" xfId="0" applyFont="1" applyBorder="1" applyProtection="1"/>
    <xf numFmtId="0" fontId="9" fillId="0" borderId="0" xfId="0" applyFont="1" applyBorder="1" applyProtection="1"/>
    <xf numFmtId="0" fontId="3" fillId="3" borderId="0" xfId="0" applyFont="1" applyFill="1" applyBorder="1" applyAlignment="1">
      <alignment horizontal="center"/>
    </xf>
    <xf numFmtId="0" fontId="0" fillId="3" borderId="21" xfId="0" applyFill="1" applyBorder="1"/>
    <xf numFmtId="0" fontId="3" fillId="0" borderId="0" xfId="0" applyFont="1" applyBorder="1" applyProtection="1"/>
    <xf numFmtId="0" fontId="10" fillId="4" borderId="12" xfId="0" applyFont="1" applyFill="1" applyBorder="1"/>
    <xf numFmtId="0" fontId="3" fillId="4" borderId="13" xfId="0" applyFont="1" applyFill="1" applyBorder="1"/>
    <xf numFmtId="0" fontId="3" fillId="4" borderId="13" xfId="0" applyFont="1" applyFill="1" applyBorder="1" applyAlignment="1">
      <alignment horizontal="center"/>
    </xf>
    <xf numFmtId="0" fontId="0" fillId="5" borderId="12" xfId="0" applyFill="1" applyBorder="1"/>
    <xf numFmtId="0" fontId="0" fillId="5" borderId="13" xfId="0" applyFill="1" applyBorder="1"/>
    <xf numFmtId="0" fontId="0" fillId="5" borderId="13" xfId="0" applyFill="1" applyBorder="1" applyAlignment="1">
      <alignment horizontal="right"/>
    </xf>
    <xf numFmtId="0" fontId="0" fillId="5" borderId="5" xfId="0" applyFill="1" applyBorder="1" applyProtection="1">
      <protection locked="0"/>
    </xf>
    <xf numFmtId="0" fontId="0" fillId="0" borderId="10" xfId="0" applyBorder="1" applyAlignment="1" applyProtection="1">
      <alignment horizontal="right"/>
      <protection locked="0"/>
    </xf>
    <xf numFmtId="0" fontId="0" fillId="0" borderId="0" xfId="0" applyNumberFormat="1" applyProtection="1">
      <protection locked="0"/>
    </xf>
    <xf numFmtId="0" fontId="0" fillId="6" borderId="0" xfId="0" applyFill="1" applyProtection="1"/>
    <xf numFmtId="0" fontId="0" fillId="7" borderId="0" xfId="0" applyFill="1"/>
    <xf numFmtId="0" fontId="0" fillId="7" borderId="13" xfId="0" applyFill="1" applyBorder="1" applyAlignment="1">
      <alignment horizontal="center" vertical="center"/>
    </xf>
    <xf numFmtId="14" fontId="2" fillId="0" borderId="0" xfId="0" applyNumberFormat="1" applyFont="1" applyBorder="1" applyAlignment="1" applyProtection="1">
      <alignment horizontal="left" vertical="center"/>
    </xf>
    <xf numFmtId="1" fontId="0" fillId="0" borderId="0" xfId="0" applyNumberFormat="1" applyProtection="1"/>
    <xf numFmtId="0" fontId="12" fillId="3" borderId="17" xfId="0" applyFont="1" applyFill="1" applyBorder="1"/>
    <xf numFmtId="0" fontId="13" fillId="2" borderId="0" xfId="0" applyFont="1" applyFill="1"/>
    <xf numFmtId="0" fontId="11" fillId="0" borderId="14" xfId="0" applyFont="1" applyFill="1" applyBorder="1" applyProtection="1">
      <protection locked="0"/>
    </xf>
    <xf numFmtId="0" fontId="0" fillId="0" borderId="25" xfId="0" applyBorder="1"/>
    <xf numFmtId="0" fontId="0" fillId="7" borderId="26" xfId="0" applyFill="1" applyBorder="1"/>
    <xf numFmtId="0" fontId="0" fillId="0" borderId="26" xfId="0" applyBorder="1"/>
    <xf numFmtId="166" fontId="0" fillId="0" borderId="26" xfId="0" applyNumberFormat="1" applyBorder="1" applyAlignment="1">
      <alignment horizontal="center"/>
    </xf>
    <xf numFmtId="0" fontId="0" fillId="0" borderId="26" xfId="0" applyBorder="1" applyAlignment="1">
      <alignment horizontal="center"/>
    </xf>
    <xf numFmtId="165" fontId="0" fillId="0" borderId="27" xfId="0" applyNumberFormat="1" applyBorder="1" applyAlignment="1">
      <alignment horizontal="center"/>
    </xf>
    <xf numFmtId="0" fontId="0" fillId="0" borderId="28" xfId="0" applyBorder="1" applyAlignment="1">
      <alignment horizontal="center" vertical="center"/>
    </xf>
    <xf numFmtId="0" fontId="0" fillId="7" borderId="29" xfId="0" applyFill="1" applyBorder="1" applyAlignment="1">
      <alignment horizontal="center" vertical="center"/>
    </xf>
    <xf numFmtId="0" fontId="0" fillId="0" borderId="29" xfId="0" applyBorder="1" applyAlignment="1">
      <alignment horizontal="center" vertical="center" wrapText="1"/>
    </xf>
    <xf numFmtId="0" fontId="1" fillId="0" borderId="29" xfId="0" applyFont="1" applyBorder="1" applyAlignment="1">
      <alignment horizontal="center" vertical="center" wrapText="1"/>
    </xf>
    <xf numFmtId="0" fontId="1" fillId="0" borderId="30" xfId="0" applyFont="1" applyBorder="1" applyAlignment="1">
      <alignment horizontal="center" vertical="center" wrapText="1"/>
    </xf>
    <xf numFmtId="0" fontId="0" fillId="0" borderId="31" xfId="0" applyBorder="1"/>
    <xf numFmtId="0" fontId="0" fillId="7" borderId="32" xfId="0" applyFill="1" applyBorder="1"/>
    <xf numFmtId="0" fontId="0" fillId="0" borderId="32" xfId="0" applyBorder="1"/>
    <xf numFmtId="166" fontId="0" fillId="0" borderId="32" xfId="0" applyNumberFormat="1" applyBorder="1" applyAlignment="1">
      <alignment horizontal="center"/>
    </xf>
    <xf numFmtId="0" fontId="0" fillId="0" borderId="32" xfId="0" applyBorder="1" applyAlignment="1">
      <alignment horizontal="center"/>
    </xf>
    <xf numFmtId="165" fontId="0" fillId="0" borderId="33" xfId="0" applyNumberFormat="1" applyBorder="1" applyAlignment="1">
      <alignment horizontal="center"/>
    </xf>
    <xf numFmtId="164" fontId="2" fillId="0" borderId="0" xfId="0" applyNumberFormat="1" applyFont="1" applyBorder="1" applyAlignment="1">
      <alignment horizontal="left" vertical="center"/>
    </xf>
    <xf numFmtId="0" fontId="5" fillId="2" borderId="22" xfId="0" applyFont="1" applyFill="1" applyBorder="1" applyAlignment="1"/>
    <xf numFmtId="0" fontId="5" fillId="2" borderId="23" xfId="0" applyFont="1" applyFill="1" applyBorder="1" applyAlignment="1"/>
    <xf numFmtId="0" fontId="0" fillId="0" borderId="24" xfId="0" applyBorder="1" applyAlignment="1"/>
  </cellXfs>
  <cellStyles count="1">
    <cellStyle name="Normal" xfId="0" builtinId="0"/>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6</xdr:col>
      <xdr:colOff>176543</xdr:colOff>
      <xdr:row>0</xdr:row>
      <xdr:rowOff>113607</xdr:rowOff>
    </xdr:from>
    <xdr:to>
      <xdr:col>10</xdr:col>
      <xdr:colOff>600259</xdr:colOff>
      <xdr:row>19</xdr:row>
      <xdr:rowOff>125329</xdr:rowOff>
    </xdr:to>
    <xdr:sp macro="" textlink="">
      <xdr:nvSpPr>
        <xdr:cNvPr id="1027" name="Rectangle 3" descr="Pink tissue paper"/>
        <xdr:cNvSpPr>
          <a:spLocks noChangeArrowheads="1"/>
        </xdr:cNvSpPr>
      </xdr:nvSpPr>
      <xdr:spPr bwMode="auto">
        <a:xfrm>
          <a:off x="3994898" y="113607"/>
          <a:ext cx="3072335" cy="3303696"/>
        </a:xfrm>
        <a:prstGeom prst="roundRect">
          <a:avLst>
            <a:gd name="adj" fmla="val 6190"/>
          </a:avLst>
        </a:prstGeom>
        <a:blipFill dpi="0" rotWithShape="0">
          <a:blip xmlns:r="http://schemas.openxmlformats.org/officeDocument/2006/relationships" r:embed="rId1"/>
          <a:srcRect/>
          <a:tile tx="0" ty="0" sx="100000" sy="100000" flip="none" algn="tl"/>
        </a:blipFill>
        <a:ln w="17145">
          <a:solidFill>
            <a:srgbClr xmlns:mc="http://schemas.openxmlformats.org/markup-compatibility/2006" xmlns:a14="http://schemas.microsoft.com/office/drawing/2010/main" val="969696" mc:Ignorable="a14" a14:legacySpreadsheetColorIndex="55"/>
          </a:solidFill>
          <a:round/>
          <a:headEnd/>
          <a:tailEnd/>
        </a:ln>
      </xdr:spPr>
      <xdr:txBody>
        <a:bodyPr vertOverflow="clip" wrap="square" lIns="27432" tIns="22860" rIns="0" bIns="0" anchor="t" upright="1"/>
        <a:lstStyle/>
        <a:p>
          <a:pPr algn="l" rtl="0">
            <a:defRPr sz="1000"/>
          </a:pPr>
          <a:endParaRPr lang="el-GR" sz="1000" b="0" i="0" u="none" strike="noStrike" baseline="0">
            <a:solidFill>
              <a:srgbClr val="333399"/>
            </a:solidFill>
            <a:latin typeface="Arial Greek"/>
            <a:cs typeface="Arial Greek"/>
          </a:endParaRPr>
        </a:p>
        <a:p>
          <a:pPr algn="l" rtl="0">
            <a:defRPr sz="1000"/>
          </a:pPr>
          <a:r>
            <a:rPr lang="el-GR" sz="1000" b="0" i="0" u="none" strike="noStrike" baseline="0">
              <a:solidFill>
                <a:srgbClr val="333399"/>
              </a:solidFill>
              <a:latin typeface="Arial Greek"/>
              <a:cs typeface="Arial Greek"/>
            </a:rPr>
            <a:t>Εισάγουμε τα Αποθέματα,</a:t>
          </a:r>
        </a:p>
        <a:p>
          <a:pPr algn="l" rtl="0">
            <a:defRPr sz="1000"/>
          </a:pPr>
          <a:r>
            <a:rPr lang="el-GR" sz="1000" b="0" i="0" u="none" strike="noStrike" baseline="0">
              <a:solidFill>
                <a:srgbClr val="333399"/>
              </a:solidFill>
              <a:latin typeface="Arial Greek"/>
              <a:cs typeface="Arial Greek"/>
            </a:rPr>
            <a:t>την Ημερήσ. Τροφ. Αργού</a:t>
          </a:r>
        </a:p>
        <a:p>
          <a:pPr algn="l" rtl="0">
            <a:defRPr sz="1000"/>
          </a:pPr>
          <a:r>
            <a:rPr lang="el-GR" sz="1000" b="0" i="0" u="none" strike="noStrike" baseline="0">
              <a:solidFill>
                <a:srgbClr val="333399"/>
              </a:solidFill>
              <a:latin typeface="Arial Greek"/>
              <a:cs typeface="Arial Greek"/>
            </a:rPr>
            <a:t>και πατάμε το κουμπί </a:t>
          </a:r>
          <a:r>
            <a:rPr lang="el-GR" sz="1000" b="1" i="0" u="none" strike="noStrike" baseline="0">
              <a:solidFill>
                <a:srgbClr val="333399"/>
              </a:solidFill>
              <a:latin typeface="Arial Greek"/>
              <a:cs typeface="Arial Greek"/>
            </a:rPr>
            <a:t>1</a:t>
          </a:r>
        </a:p>
      </xdr:txBody>
    </xdr:sp>
    <xdr:clientData/>
  </xdr:twoCellAnchor>
  <xdr:twoCellAnchor>
    <xdr:from>
      <xdr:col>8</xdr:col>
      <xdr:colOff>387183</xdr:colOff>
      <xdr:row>1</xdr:row>
      <xdr:rowOff>46455</xdr:rowOff>
    </xdr:from>
    <xdr:to>
      <xdr:col>10</xdr:col>
      <xdr:colOff>301458</xdr:colOff>
      <xdr:row>3</xdr:row>
      <xdr:rowOff>7520</xdr:rowOff>
    </xdr:to>
    <xdr:sp macro="[0]!Data_Entry" textlink="">
      <xdr:nvSpPr>
        <xdr:cNvPr id="1025" name="Text 1"/>
        <xdr:cNvSpPr>
          <a:spLocks noChangeArrowheads="1"/>
        </xdr:cNvSpPr>
      </xdr:nvSpPr>
      <xdr:spPr bwMode="auto">
        <a:xfrm>
          <a:off x="5634288" y="205205"/>
          <a:ext cx="1134144" cy="470736"/>
        </a:xfrm>
        <a:prstGeom prst="roundRect">
          <a:avLst>
            <a:gd name="adj" fmla="val 16667"/>
          </a:avLst>
        </a:prstGeom>
        <a:gradFill rotWithShape="0">
          <a:gsLst>
            <a:gs pos="0">
              <a:srgbClr xmlns:mc="http://schemas.openxmlformats.org/markup-compatibility/2006" xmlns:a14="http://schemas.microsoft.com/office/drawing/2010/main" val="FFFFFF" mc:Ignorable="a14" a14:legacySpreadsheetColorIndex="9"/>
            </a:gs>
            <a:gs pos="100000">
              <a:srgbClr xmlns:mc="http://schemas.openxmlformats.org/markup-compatibility/2006" xmlns:a14="http://schemas.microsoft.com/office/drawing/2010/main" val="969696" mc:Ignorable="a14" a14:legacySpreadsheetColorIndex="55"/>
            </a:gs>
          </a:gsLst>
          <a:lin ang="5400000" scaled="1"/>
        </a:gradFill>
        <a:ln w="17145">
          <a:solidFill>
            <a:srgbClr xmlns:mc="http://schemas.openxmlformats.org/markup-compatibility/2006" xmlns:a14="http://schemas.microsoft.com/office/drawing/2010/main" val="969696" mc:Ignorable="a14" a14:legacySpreadsheetColorIndex="55"/>
          </a:solidFill>
          <a:round/>
          <a:headEnd/>
          <a:tailEnd/>
        </a:ln>
      </xdr:spPr>
      <xdr:txBody>
        <a:bodyPr vertOverflow="clip" wrap="square" lIns="36576" tIns="27432" rIns="36576" bIns="27432" anchor="ctr" upright="1"/>
        <a:lstStyle/>
        <a:p>
          <a:pPr algn="ctr" rtl="0">
            <a:defRPr sz="1000"/>
          </a:pPr>
          <a:r>
            <a:rPr lang="el-GR" sz="1200" b="1" i="0" u="none" strike="noStrike" baseline="0">
              <a:solidFill>
                <a:srgbClr val="333399"/>
              </a:solidFill>
              <a:latin typeface="Arial Greek"/>
              <a:cs typeface="Arial Greek"/>
            </a:rPr>
            <a:t>Καταχώρηση Δεδομένων</a:t>
          </a:r>
        </a:p>
      </xdr:txBody>
    </xdr:sp>
    <xdr:clientData/>
  </xdr:twoCellAnchor>
  <xdr:twoCellAnchor>
    <xdr:from>
      <xdr:col>8</xdr:col>
      <xdr:colOff>342565</xdr:colOff>
      <xdr:row>3</xdr:row>
      <xdr:rowOff>100264</xdr:rowOff>
    </xdr:from>
    <xdr:to>
      <xdr:col>10</xdr:col>
      <xdr:colOff>334209</xdr:colOff>
      <xdr:row>10</xdr:row>
      <xdr:rowOff>133685</xdr:rowOff>
    </xdr:to>
    <xdr:sp macro="[0]!Import_CopyPaste" textlink="">
      <xdr:nvSpPr>
        <xdr:cNvPr id="1026" name="Text 2"/>
        <xdr:cNvSpPr>
          <a:spLocks noChangeArrowheads="1"/>
        </xdr:cNvSpPr>
      </xdr:nvSpPr>
      <xdr:spPr bwMode="auto">
        <a:xfrm>
          <a:off x="5589670" y="768685"/>
          <a:ext cx="1211513" cy="1178092"/>
        </a:xfrm>
        <a:prstGeom prst="roundRect">
          <a:avLst>
            <a:gd name="adj" fmla="val 16667"/>
          </a:avLst>
        </a:prstGeom>
        <a:gradFill rotWithShape="0">
          <a:gsLst>
            <a:gs pos="0">
              <a:srgbClr xmlns:mc="http://schemas.openxmlformats.org/markup-compatibility/2006" xmlns:a14="http://schemas.microsoft.com/office/drawing/2010/main" val="FFFFFF" mc:Ignorable="a14" a14:legacySpreadsheetColorIndex="9"/>
            </a:gs>
            <a:gs pos="100000">
              <a:srgbClr xmlns:mc="http://schemas.openxmlformats.org/markup-compatibility/2006" xmlns:a14="http://schemas.microsoft.com/office/drawing/2010/main" val="969696" mc:Ignorable="a14" a14:legacySpreadsheetColorIndex="55"/>
            </a:gs>
          </a:gsLst>
          <a:lin ang="5400000" scaled="1"/>
        </a:gradFill>
        <a:ln w="17145">
          <a:solidFill>
            <a:srgbClr xmlns:mc="http://schemas.openxmlformats.org/markup-compatibility/2006" xmlns:a14="http://schemas.microsoft.com/office/drawing/2010/main" val="969696" mc:Ignorable="a14" a14:legacySpreadsheetColorIndex="55"/>
          </a:solidFill>
          <a:round/>
          <a:headEnd/>
          <a:tailEnd/>
        </a:ln>
      </xdr:spPr>
      <xdr:txBody>
        <a:bodyPr vertOverflow="clip" wrap="square" lIns="27432" tIns="27432" rIns="27432" bIns="27432" anchor="ctr" upright="1"/>
        <a:lstStyle/>
        <a:p>
          <a:pPr algn="ctr" rtl="0">
            <a:defRPr sz="1000"/>
          </a:pPr>
          <a:r>
            <a:rPr lang="el-GR" sz="1100" b="1" i="0" u="none" strike="noStrike" baseline="0">
              <a:solidFill>
                <a:srgbClr val="333399"/>
              </a:solidFill>
              <a:latin typeface="Arial Greek"/>
              <a:cs typeface="Arial Greek"/>
            </a:rPr>
            <a:t>Εισαγωγή Αναφοράς από </a:t>
          </a:r>
          <a:r>
            <a:rPr lang="en-US" sz="1100" b="1" i="0" u="none" strike="noStrike" baseline="0">
              <a:solidFill>
                <a:srgbClr val="333399"/>
              </a:solidFill>
              <a:latin typeface="Arial Greek"/>
              <a:cs typeface="Arial Greek"/>
            </a:rPr>
            <a:t>Saab-Ion2</a:t>
          </a:r>
        </a:p>
        <a:p>
          <a:pPr algn="ctr" rtl="0">
            <a:defRPr sz="1000"/>
          </a:pPr>
          <a:r>
            <a:rPr lang="el-GR" sz="1100" b="1" i="0" u="none" strike="noStrike" baseline="0">
              <a:solidFill>
                <a:srgbClr val="333399"/>
              </a:solidFill>
              <a:latin typeface="Arial Greek"/>
              <a:cs typeface="Arial Greek"/>
            </a:rPr>
            <a:t>και φορμάρισμα αναφοράς</a:t>
          </a:r>
          <a:endParaRPr lang="en-US" sz="1100" b="1" i="0" u="none" strike="noStrike" baseline="0">
            <a:solidFill>
              <a:srgbClr val="333399"/>
            </a:solidFill>
            <a:latin typeface="Arial Greek"/>
            <a:cs typeface="Arial Greek"/>
          </a:endParaRPr>
        </a:p>
      </xdr:txBody>
    </xdr:sp>
    <xdr:clientData/>
  </xdr:twoCellAnchor>
  <xdr:twoCellAnchor>
    <xdr:from>
      <xdr:col>8</xdr:col>
      <xdr:colOff>388352</xdr:colOff>
      <xdr:row>11</xdr:row>
      <xdr:rowOff>44117</xdr:rowOff>
    </xdr:from>
    <xdr:to>
      <xdr:col>10</xdr:col>
      <xdr:colOff>340727</xdr:colOff>
      <xdr:row>15</xdr:row>
      <xdr:rowOff>53642</xdr:rowOff>
    </xdr:to>
    <xdr:sp macro="[0]!PrintSheet1" textlink="">
      <xdr:nvSpPr>
        <xdr:cNvPr id="1029" name="AutoShape 5"/>
        <xdr:cNvSpPr>
          <a:spLocks noChangeArrowheads="1"/>
        </xdr:cNvSpPr>
      </xdr:nvSpPr>
      <xdr:spPr bwMode="auto">
        <a:xfrm>
          <a:off x="5635457" y="2015959"/>
          <a:ext cx="1172244" cy="677946"/>
        </a:xfrm>
        <a:prstGeom prst="roundRect">
          <a:avLst>
            <a:gd name="adj" fmla="val 16667"/>
          </a:avLst>
        </a:prstGeom>
        <a:gradFill rotWithShape="0">
          <a:gsLst>
            <a:gs pos="0">
              <a:srgbClr xmlns:mc="http://schemas.openxmlformats.org/markup-compatibility/2006" xmlns:a14="http://schemas.microsoft.com/office/drawing/2010/main" val="FFFFFF" mc:Ignorable="a14" a14:legacySpreadsheetColorIndex="9"/>
            </a:gs>
            <a:gs pos="100000">
              <a:srgbClr xmlns:mc="http://schemas.openxmlformats.org/markup-compatibility/2006" xmlns:a14="http://schemas.microsoft.com/office/drawing/2010/main" val="969696" mc:Ignorable="a14" a14:legacySpreadsheetColorIndex="55"/>
            </a:gs>
          </a:gsLst>
          <a:lin ang="5400000" scaled="1"/>
        </a:gradFill>
        <a:ln w="17145">
          <a:solidFill>
            <a:srgbClr xmlns:mc="http://schemas.openxmlformats.org/markup-compatibility/2006" xmlns:a14="http://schemas.microsoft.com/office/drawing/2010/main" val="969696" mc:Ignorable="a14" a14:legacySpreadsheetColorIndex="55"/>
          </a:solidFill>
          <a:round/>
          <a:headEnd/>
          <a:tailEnd/>
        </a:ln>
      </xdr:spPr>
      <xdr:txBody>
        <a:bodyPr vertOverflow="clip" wrap="square" lIns="36576" tIns="27432" rIns="36576" bIns="27432" anchor="ctr" upright="1"/>
        <a:lstStyle/>
        <a:p>
          <a:pPr algn="ctr" rtl="0">
            <a:defRPr sz="1000"/>
          </a:pPr>
          <a:r>
            <a:rPr lang="el-GR" sz="1200" b="1" i="0" u="none" strike="noStrike" baseline="0">
              <a:solidFill>
                <a:srgbClr val="333399"/>
              </a:solidFill>
              <a:latin typeface="Arial Greek"/>
              <a:cs typeface="Arial Greek"/>
            </a:rPr>
            <a:t>Εκτύπωση Αναφοράς</a:t>
          </a:r>
        </a:p>
      </xdr:txBody>
    </xdr:sp>
    <xdr:clientData/>
  </xdr:twoCellAnchor>
  <xdr:twoCellAnchor>
    <xdr:from>
      <xdr:col>10</xdr:col>
      <xdr:colOff>297782</xdr:colOff>
      <xdr:row>1</xdr:row>
      <xdr:rowOff>126164</xdr:rowOff>
    </xdr:from>
    <xdr:to>
      <xdr:col>10</xdr:col>
      <xdr:colOff>526382</xdr:colOff>
      <xdr:row>2</xdr:row>
      <xdr:rowOff>286184</xdr:rowOff>
    </xdr:to>
    <xdr:sp macro="" textlink="">
      <xdr:nvSpPr>
        <xdr:cNvPr id="1030" name="Text Box 6"/>
        <xdr:cNvSpPr txBox="1">
          <a:spLocks noChangeArrowheads="1"/>
        </xdr:cNvSpPr>
      </xdr:nvSpPr>
      <xdr:spPr bwMode="auto">
        <a:xfrm>
          <a:off x="6764756" y="284914"/>
          <a:ext cx="228600" cy="335481"/>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45720" tIns="41148" rIns="0" bIns="0" anchor="t" upright="1"/>
        <a:lstStyle/>
        <a:p>
          <a:pPr algn="l" rtl="0">
            <a:defRPr sz="1000"/>
          </a:pPr>
          <a:r>
            <a:rPr lang="el-GR" sz="2000" b="1" i="0" u="none" strike="noStrike" baseline="0">
              <a:solidFill>
                <a:srgbClr val="3333CC"/>
              </a:solidFill>
              <a:latin typeface="Arial Greek"/>
              <a:cs typeface="Arial Greek"/>
            </a:rPr>
            <a:t>1</a:t>
          </a:r>
          <a:endParaRPr lang="el-GR"/>
        </a:p>
      </xdr:txBody>
    </xdr:sp>
    <xdr:clientData/>
  </xdr:twoCellAnchor>
  <xdr:twoCellAnchor>
    <xdr:from>
      <xdr:col>10</xdr:col>
      <xdr:colOff>325187</xdr:colOff>
      <xdr:row>6</xdr:row>
      <xdr:rowOff>16076</xdr:rowOff>
    </xdr:from>
    <xdr:to>
      <xdr:col>10</xdr:col>
      <xdr:colOff>553787</xdr:colOff>
      <xdr:row>8</xdr:row>
      <xdr:rowOff>17981</xdr:rowOff>
    </xdr:to>
    <xdr:sp macro="" textlink="">
      <xdr:nvSpPr>
        <xdr:cNvPr id="1031" name="Text Box 7"/>
        <xdr:cNvSpPr txBox="1">
          <a:spLocks noChangeArrowheads="1"/>
        </xdr:cNvSpPr>
      </xdr:nvSpPr>
      <xdr:spPr bwMode="auto">
        <a:xfrm>
          <a:off x="6792161" y="1160747"/>
          <a:ext cx="228600" cy="31940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45720" tIns="41148" rIns="0" bIns="0" anchor="t" upright="1"/>
        <a:lstStyle/>
        <a:p>
          <a:pPr algn="l" rtl="0">
            <a:defRPr sz="1000"/>
          </a:pPr>
          <a:r>
            <a:rPr lang="el-GR" sz="2000" b="1" i="0" u="none" strike="noStrike" baseline="0">
              <a:solidFill>
                <a:srgbClr val="3333CC"/>
              </a:solidFill>
              <a:latin typeface="Arial Greek"/>
              <a:cs typeface="Arial Greek"/>
            </a:rPr>
            <a:t>2</a:t>
          </a:r>
          <a:endParaRPr lang="el-GR"/>
        </a:p>
      </xdr:txBody>
    </xdr:sp>
    <xdr:clientData/>
  </xdr:twoCellAnchor>
  <xdr:twoCellAnchor>
    <xdr:from>
      <xdr:col>6</xdr:col>
      <xdr:colOff>172052</xdr:colOff>
      <xdr:row>5</xdr:row>
      <xdr:rowOff>23729</xdr:rowOff>
    </xdr:from>
    <xdr:to>
      <xdr:col>8</xdr:col>
      <xdr:colOff>297800</xdr:colOff>
      <xdr:row>9</xdr:row>
      <xdr:rowOff>167105</xdr:rowOff>
    </xdr:to>
    <xdr:sp macro="" textlink="">
      <xdr:nvSpPr>
        <xdr:cNvPr id="1034" name="Text Box 10"/>
        <xdr:cNvSpPr txBox="1">
          <a:spLocks noChangeArrowheads="1"/>
        </xdr:cNvSpPr>
      </xdr:nvSpPr>
      <xdr:spPr bwMode="auto">
        <a:xfrm>
          <a:off x="3990407" y="1009650"/>
          <a:ext cx="1554498" cy="79508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l-GR" sz="1000" b="0" i="0" u="none" strike="noStrike" baseline="0">
              <a:solidFill>
                <a:srgbClr val="333399"/>
              </a:solidFill>
              <a:latin typeface="Arial Greek"/>
              <a:cs typeface="Arial Greek"/>
            </a:rPr>
            <a:t>Πατάμε το κουμπί </a:t>
          </a:r>
          <a:r>
            <a:rPr lang="el-GR" sz="1000" b="1" i="0" u="none" strike="noStrike" baseline="0">
              <a:solidFill>
                <a:srgbClr val="333399"/>
              </a:solidFill>
              <a:latin typeface="Arial Greek"/>
              <a:cs typeface="Arial Greek"/>
            </a:rPr>
            <a:t>2</a:t>
          </a:r>
          <a:r>
            <a:rPr lang="el-GR" sz="1000" b="0" i="0" u="none" strike="noStrike" baseline="0">
              <a:solidFill>
                <a:srgbClr val="333399"/>
              </a:solidFill>
              <a:latin typeface="Arial Greek"/>
              <a:cs typeface="Arial Greek"/>
            </a:rPr>
            <a:t> για αυτόματη εισαγωγή της αναφοράς.</a:t>
          </a:r>
          <a:r>
            <a:rPr lang="en-US" sz="1000" b="0" i="0" u="none" strike="noStrike" baseline="0">
              <a:solidFill>
                <a:srgbClr val="333399"/>
              </a:solidFill>
              <a:latin typeface="Arial Greek"/>
              <a:cs typeface="Arial Greek"/>
            </a:rPr>
            <a:t> </a:t>
          </a:r>
          <a:r>
            <a:rPr lang="el-GR" sz="1000" b="0" i="0" u="none" strike="noStrike" baseline="0">
              <a:solidFill>
                <a:srgbClr val="333399"/>
              </a:solidFill>
              <a:latin typeface="Arial Greek"/>
              <a:cs typeface="Arial Greek"/>
            </a:rPr>
            <a:t>Γίνεται το φορμάρισμα και η διάταξη της αναφοράς.</a:t>
          </a:r>
        </a:p>
      </xdr:txBody>
    </xdr:sp>
    <xdr:clientData/>
  </xdr:twoCellAnchor>
  <xdr:twoCellAnchor>
    <xdr:from>
      <xdr:col>10</xdr:col>
      <xdr:colOff>343067</xdr:colOff>
      <xdr:row>12</xdr:row>
      <xdr:rowOff>30748</xdr:rowOff>
    </xdr:from>
    <xdr:to>
      <xdr:col>10</xdr:col>
      <xdr:colOff>571667</xdr:colOff>
      <xdr:row>15</xdr:row>
      <xdr:rowOff>4512</xdr:rowOff>
    </xdr:to>
    <xdr:sp macro="" textlink="">
      <xdr:nvSpPr>
        <xdr:cNvPr id="1035" name="Text Box 11"/>
        <xdr:cNvSpPr txBox="1">
          <a:spLocks noChangeArrowheads="1"/>
        </xdr:cNvSpPr>
      </xdr:nvSpPr>
      <xdr:spPr bwMode="auto">
        <a:xfrm>
          <a:off x="6810041" y="2161340"/>
          <a:ext cx="228600" cy="48343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45720" tIns="41148" rIns="0" bIns="0" anchor="t" upright="1"/>
        <a:lstStyle/>
        <a:p>
          <a:pPr algn="l" rtl="0">
            <a:defRPr sz="1000"/>
          </a:pPr>
          <a:r>
            <a:rPr lang="en-US" sz="2000" b="1" i="0" u="none" strike="noStrike" baseline="0">
              <a:solidFill>
                <a:srgbClr val="3333CC"/>
              </a:solidFill>
              <a:latin typeface="Arial Greek"/>
              <a:ea typeface="+mn-ea"/>
              <a:cs typeface="Arial Greek"/>
            </a:rPr>
            <a:t>3</a:t>
          </a:r>
        </a:p>
      </xdr:txBody>
    </xdr:sp>
    <xdr:clientData/>
  </xdr:twoCellAnchor>
  <xdr:twoCellAnchor>
    <xdr:from>
      <xdr:col>6</xdr:col>
      <xdr:colOff>150061</xdr:colOff>
      <xdr:row>11</xdr:row>
      <xdr:rowOff>69182</xdr:rowOff>
    </xdr:from>
    <xdr:to>
      <xdr:col>8</xdr:col>
      <xdr:colOff>283411</xdr:colOff>
      <xdr:row>15</xdr:row>
      <xdr:rowOff>88232</xdr:rowOff>
    </xdr:to>
    <xdr:sp macro="" textlink="">
      <xdr:nvSpPr>
        <xdr:cNvPr id="1037" name="Text Box 13"/>
        <xdr:cNvSpPr txBox="1">
          <a:spLocks noChangeArrowheads="1"/>
        </xdr:cNvSpPr>
      </xdr:nvSpPr>
      <xdr:spPr bwMode="auto">
        <a:xfrm>
          <a:off x="3968416" y="2041024"/>
          <a:ext cx="1562100" cy="687471"/>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l-GR" sz="1000" b="0" i="0" u="none" strike="noStrike" baseline="0">
              <a:solidFill>
                <a:srgbClr val="333399"/>
              </a:solidFill>
              <a:latin typeface="Arial Greek"/>
              <a:cs typeface="Arial Greek"/>
            </a:rPr>
            <a:t>Με το κουμπί </a:t>
          </a:r>
          <a:r>
            <a:rPr lang="en-US" sz="1000" b="1" i="0" u="none" strike="noStrike" baseline="0">
              <a:solidFill>
                <a:srgbClr val="333399"/>
              </a:solidFill>
              <a:latin typeface="Arial Greek"/>
              <a:cs typeface="Arial Greek"/>
            </a:rPr>
            <a:t>3</a:t>
          </a:r>
          <a:r>
            <a:rPr lang="el-GR" sz="1000" b="0" i="0" u="none" strike="noStrike" baseline="0">
              <a:solidFill>
                <a:srgbClr val="333399"/>
              </a:solidFill>
              <a:latin typeface="Arial Greek"/>
              <a:cs typeface="Arial Greek"/>
            </a:rPr>
            <a:t> γίνεται εκτύπωση της αναφοράς (δηλαδή της σελ. </a:t>
          </a:r>
          <a:r>
            <a:rPr lang="en-US" sz="1000" b="0" i="0" u="none" strike="noStrike" baseline="0">
              <a:solidFill>
                <a:srgbClr val="333399"/>
              </a:solidFill>
              <a:latin typeface="Arial Greek"/>
              <a:cs typeface="Arial Greek"/>
            </a:rPr>
            <a:t>Report)</a:t>
          </a:r>
        </a:p>
      </xdr:txBody>
    </xdr:sp>
    <xdr:clientData/>
  </xdr:twoCellAnchor>
  <xdr:twoCellAnchor>
    <xdr:from>
      <xdr:col>8</xdr:col>
      <xdr:colOff>403894</xdr:colOff>
      <xdr:row>15</xdr:row>
      <xdr:rowOff>143946</xdr:rowOff>
    </xdr:from>
    <xdr:to>
      <xdr:col>10</xdr:col>
      <xdr:colOff>356269</xdr:colOff>
      <xdr:row>18</xdr:row>
      <xdr:rowOff>134855</xdr:rowOff>
    </xdr:to>
    <xdr:sp macro="[0]!Copyto_Server" textlink="">
      <xdr:nvSpPr>
        <xdr:cNvPr id="1039" name="AutoShape 15"/>
        <xdr:cNvSpPr>
          <a:spLocks noChangeArrowheads="1"/>
        </xdr:cNvSpPr>
      </xdr:nvSpPr>
      <xdr:spPr bwMode="auto">
        <a:xfrm>
          <a:off x="5650999" y="2784209"/>
          <a:ext cx="1172244" cy="483870"/>
        </a:xfrm>
        <a:prstGeom prst="roundRect">
          <a:avLst>
            <a:gd name="adj" fmla="val 16667"/>
          </a:avLst>
        </a:prstGeom>
        <a:gradFill rotWithShape="0">
          <a:gsLst>
            <a:gs pos="0">
              <a:srgbClr xmlns:mc="http://schemas.openxmlformats.org/markup-compatibility/2006" xmlns:a14="http://schemas.microsoft.com/office/drawing/2010/main" val="FFFFFF" mc:Ignorable="a14" a14:legacySpreadsheetColorIndex="9"/>
            </a:gs>
            <a:gs pos="100000">
              <a:srgbClr xmlns:mc="http://schemas.openxmlformats.org/markup-compatibility/2006" xmlns:a14="http://schemas.microsoft.com/office/drawing/2010/main" val="969696" mc:Ignorable="a14" a14:legacySpreadsheetColorIndex="55"/>
            </a:gs>
          </a:gsLst>
          <a:lin ang="5400000" scaled="1"/>
        </a:gradFill>
        <a:ln w="17145">
          <a:solidFill>
            <a:srgbClr xmlns:mc="http://schemas.openxmlformats.org/markup-compatibility/2006" xmlns:a14="http://schemas.microsoft.com/office/drawing/2010/main" val="969696" mc:Ignorable="a14" a14:legacySpreadsheetColorIndex="55"/>
          </a:solidFill>
          <a:round/>
          <a:headEnd/>
          <a:tailEnd/>
        </a:ln>
      </xdr:spPr>
      <xdr:txBody>
        <a:bodyPr vertOverflow="clip" wrap="square" lIns="36576" tIns="27432" rIns="36576" bIns="27432" anchor="ctr" upright="1"/>
        <a:lstStyle/>
        <a:p>
          <a:pPr algn="ctr" rtl="0">
            <a:defRPr sz="1000"/>
          </a:pPr>
          <a:r>
            <a:rPr lang="el-GR" sz="1200" b="1" i="0" u="none" strike="noStrike" baseline="0">
              <a:solidFill>
                <a:srgbClr val="333399"/>
              </a:solidFill>
              <a:latin typeface="Arial Greek"/>
              <a:cs typeface="Arial Greek"/>
            </a:rPr>
            <a:t>Αντιγραφή στον </a:t>
          </a:r>
          <a:r>
            <a:rPr lang="en-US" sz="1200" b="1" i="0" u="none" strike="noStrike" baseline="0">
              <a:solidFill>
                <a:srgbClr val="333399"/>
              </a:solidFill>
              <a:latin typeface="Arial Greek"/>
              <a:cs typeface="Arial Greek"/>
            </a:rPr>
            <a:t>Server</a:t>
          </a:r>
        </a:p>
        <a:p>
          <a:pPr algn="ctr" rtl="0">
            <a:defRPr sz="1000"/>
          </a:pPr>
          <a:endParaRPr lang="en-US" sz="1200" b="1" i="0" u="none" strike="noStrike" baseline="0">
            <a:solidFill>
              <a:srgbClr val="333399"/>
            </a:solidFill>
            <a:latin typeface="Arial Greek"/>
            <a:cs typeface="Arial Greek"/>
          </a:endParaRPr>
        </a:p>
      </xdr:txBody>
    </xdr:sp>
    <xdr:clientData/>
  </xdr:twoCellAnchor>
  <xdr:twoCellAnchor>
    <xdr:from>
      <xdr:col>10</xdr:col>
      <xdr:colOff>358608</xdr:colOff>
      <xdr:row>16</xdr:row>
      <xdr:rowOff>57150</xdr:rowOff>
    </xdr:from>
    <xdr:to>
      <xdr:col>10</xdr:col>
      <xdr:colOff>587208</xdr:colOff>
      <xdr:row>18</xdr:row>
      <xdr:rowOff>40439</xdr:rowOff>
    </xdr:to>
    <xdr:sp macro="" textlink="">
      <xdr:nvSpPr>
        <xdr:cNvPr id="1040" name="Text Box 16"/>
        <xdr:cNvSpPr txBox="1">
          <a:spLocks noChangeArrowheads="1"/>
        </xdr:cNvSpPr>
      </xdr:nvSpPr>
      <xdr:spPr bwMode="auto">
        <a:xfrm>
          <a:off x="6825582" y="2856163"/>
          <a:ext cx="228600" cy="317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45720" tIns="41148" rIns="0" bIns="0" anchor="t" upright="1"/>
        <a:lstStyle/>
        <a:p>
          <a:pPr algn="l" rtl="0">
            <a:defRPr sz="1000"/>
          </a:pPr>
          <a:r>
            <a:rPr lang="en-US" sz="2000" b="1" i="0" u="none" strike="noStrike" baseline="0">
              <a:solidFill>
                <a:srgbClr val="3333CC"/>
              </a:solidFill>
              <a:latin typeface="Arial Greek"/>
              <a:cs typeface="Arial Greek"/>
            </a:rPr>
            <a:t>4</a:t>
          </a:r>
          <a:endParaRPr lang="el-GR"/>
        </a:p>
      </xdr:txBody>
    </xdr:sp>
    <xdr:clientData/>
  </xdr:twoCellAnchor>
  <xdr:twoCellAnchor>
    <xdr:from>
      <xdr:col>6</xdr:col>
      <xdr:colOff>192171</xdr:colOff>
      <xdr:row>15</xdr:row>
      <xdr:rowOff>116974</xdr:rowOff>
    </xdr:from>
    <xdr:to>
      <xdr:col>8</xdr:col>
      <xdr:colOff>334712</xdr:colOff>
      <xdr:row>19</xdr:row>
      <xdr:rowOff>36931</xdr:rowOff>
    </xdr:to>
    <xdr:sp macro="" textlink="">
      <xdr:nvSpPr>
        <xdr:cNvPr id="1041" name="Text Box 17"/>
        <xdr:cNvSpPr txBox="1">
          <a:spLocks noChangeArrowheads="1"/>
        </xdr:cNvSpPr>
      </xdr:nvSpPr>
      <xdr:spPr bwMode="auto">
        <a:xfrm>
          <a:off x="4010526" y="2757237"/>
          <a:ext cx="1571291" cy="57166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l-GR" sz="1000" b="0" i="0" u="none" strike="noStrike" baseline="0">
              <a:solidFill>
                <a:srgbClr val="333399"/>
              </a:solidFill>
              <a:latin typeface="Arial Greek"/>
              <a:cs typeface="Arial Greek"/>
            </a:rPr>
            <a:t>Με το κουμπί </a:t>
          </a:r>
          <a:r>
            <a:rPr lang="en-US" sz="1000" b="1" i="0" u="none" strike="noStrike" baseline="0">
              <a:solidFill>
                <a:srgbClr val="333399"/>
              </a:solidFill>
              <a:latin typeface="Arial Greek"/>
              <a:cs typeface="Arial Greek"/>
            </a:rPr>
            <a:t>4</a:t>
          </a:r>
          <a:r>
            <a:rPr lang="el-GR" sz="1000" b="0" i="0" u="none" strike="noStrike" baseline="0">
              <a:solidFill>
                <a:srgbClr val="333399"/>
              </a:solidFill>
              <a:latin typeface="Arial Greek"/>
              <a:cs typeface="Arial Greek"/>
            </a:rPr>
            <a:t> γίνεται αντιγραφή της αναφοράς στον </a:t>
          </a:r>
          <a:r>
            <a:rPr lang="en-US" sz="1000" b="0" i="0" u="none" strike="noStrike" baseline="0">
              <a:solidFill>
                <a:srgbClr val="333399"/>
              </a:solidFill>
              <a:latin typeface="Arial Greek"/>
              <a:cs typeface="Arial Greek"/>
            </a:rPr>
            <a:t>Server </a:t>
          </a:r>
          <a:r>
            <a:rPr lang="el-GR" sz="1000" b="0" i="0" u="none" strike="noStrike" baseline="0">
              <a:solidFill>
                <a:srgbClr val="333399"/>
              </a:solidFill>
              <a:latin typeface="Arial Greek"/>
              <a:cs typeface="Arial Greek"/>
            </a:rPr>
            <a:t>του δικτύου.</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offsitop\Desktop\LIMS_PHD_OFFSITES_REV0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RUDE"/>
      <sheetName val="LPG"/>
      <sheetName val="GASOLINES"/>
      <sheetName val="JET"/>
      <sheetName val="DIESEL"/>
      <sheetName val="FO"/>
      <sheetName val="SRAR.VGO.ASP"/>
    </sheetNames>
    <sheetDataSet>
      <sheetData sheetId="0">
        <row r="7">
          <cell r="F7" t="str">
            <v>12/7/17 3:00</v>
          </cell>
        </row>
        <row r="8">
          <cell r="F8" t="str">
            <v>TK-885</v>
          </cell>
        </row>
        <row r="9">
          <cell r="F9">
            <v>0.8</v>
          </cell>
        </row>
        <row r="10">
          <cell r="F10">
            <v>0.06</v>
          </cell>
        </row>
        <row r="11">
          <cell r="F11">
            <v>0.01</v>
          </cell>
        </row>
        <row r="12">
          <cell r="F12">
            <v>3.6</v>
          </cell>
        </row>
        <row r="13">
          <cell r="F13">
            <v>45.69</v>
          </cell>
        </row>
        <row r="15">
          <cell r="F15">
            <v>0.02</v>
          </cell>
        </row>
        <row r="16">
          <cell r="F16">
            <v>0.08</v>
          </cell>
        </row>
        <row r="17">
          <cell r="F17">
            <v>0.05</v>
          </cell>
        </row>
      </sheetData>
      <sheetData sheetId="1">
        <row r="7">
          <cell r="F7" t="str">
            <v>12/7/17 3:00</v>
          </cell>
        </row>
        <row r="8">
          <cell r="F8" t="str">
            <v>TK-861</v>
          </cell>
        </row>
        <row r="9">
          <cell r="F9">
            <v>0.56000000000000005</v>
          </cell>
        </row>
        <row r="14">
          <cell r="F14">
            <v>0.02</v>
          </cell>
        </row>
        <row r="15">
          <cell r="F15">
            <v>0</v>
          </cell>
        </row>
        <row r="16">
          <cell r="F16">
            <v>23.22</v>
          </cell>
        </row>
        <row r="17">
          <cell r="F17">
            <v>0.14000000000000001</v>
          </cell>
        </row>
        <row r="18">
          <cell r="F18">
            <v>29.51</v>
          </cell>
        </row>
        <row r="19">
          <cell r="F19">
            <v>45.52</v>
          </cell>
        </row>
        <row r="20">
          <cell r="F20">
            <v>0.11</v>
          </cell>
        </row>
        <row r="21">
          <cell r="F21">
            <v>0.1</v>
          </cell>
        </row>
        <row r="22">
          <cell r="F22">
            <v>0.21</v>
          </cell>
        </row>
        <row r="23">
          <cell r="F23">
            <v>7.0000000000000007E-2</v>
          </cell>
        </row>
        <row r="24">
          <cell r="F24">
            <v>1.04</v>
          </cell>
        </row>
        <row r="26">
          <cell r="F26">
            <v>0.06</v>
          </cell>
        </row>
        <row r="28">
          <cell r="F28">
            <v>0</v>
          </cell>
        </row>
        <row r="29">
          <cell r="F29">
            <v>0</v>
          </cell>
        </row>
        <row r="30">
          <cell r="F30">
            <v>30</v>
          </cell>
        </row>
        <row r="32">
          <cell r="F32" t="str">
            <v>Nil</v>
          </cell>
        </row>
        <row r="33">
          <cell r="F33">
            <v>14</v>
          </cell>
        </row>
        <row r="34">
          <cell r="F34" t="str">
            <v>Unpl, &amp; Distinctive</v>
          </cell>
        </row>
        <row r="35">
          <cell r="F35" t="str">
            <v>Class 1</v>
          </cell>
        </row>
        <row r="37">
          <cell r="F37" t="str">
            <v>Normal</v>
          </cell>
        </row>
        <row r="38">
          <cell r="F38" t="str">
            <v>Negative</v>
          </cell>
        </row>
        <row r="40">
          <cell r="F40">
            <v>0</v>
          </cell>
        </row>
        <row r="41">
          <cell r="F41" t="str">
            <v>TK-861</v>
          </cell>
        </row>
        <row r="42">
          <cell r="F42">
            <v>0.56000000000000005</v>
          </cell>
        </row>
        <row r="46">
          <cell r="F46">
            <v>181</v>
          </cell>
        </row>
        <row r="47">
          <cell r="F47">
            <v>0.02</v>
          </cell>
        </row>
        <row r="48">
          <cell r="F48">
            <v>0</v>
          </cell>
        </row>
        <row r="49">
          <cell r="F49">
            <v>23.22</v>
          </cell>
        </row>
        <row r="50">
          <cell r="F50">
            <v>0.14000000000000001</v>
          </cell>
        </row>
        <row r="51">
          <cell r="F51">
            <v>29.51</v>
          </cell>
        </row>
        <row r="52">
          <cell r="F52">
            <v>45.52</v>
          </cell>
        </row>
        <row r="53">
          <cell r="F53">
            <v>0.11</v>
          </cell>
        </row>
        <row r="54">
          <cell r="F54">
            <v>0.1</v>
          </cell>
        </row>
        <row r="55">
          <cell r="F55">
            <v>0.21</v>
          </cell>
        </row>
        <row r="56">
          <cell r="F56">
            <v>7.0000000000000007E-2</v>
          </cell>
        </row>
        <row r="57">
          <cell r="F57">
            <v>1.04</v>
          </cell>
        </row>
        <row r="59">
          <cell r="F59">
            <v>0.06</v>
          </cell>
        </row>
        <row r="61">
          <cell r="F61">
            <v>0</v>
          </cell>
        </row>
        <row r="62">
          <cell r="F62">
            <v>0</v>
          </cell>
        </row>
        <row r="63">
          <cell r="F63" t="str">
            <v>Negative</v>
          </cell>
        </row>
        <row r="64">
          <cell r="F64">
            <v>30</v>
          </cell>
        </row>
        <row r="65">
          <cell r="F65" t="str">
            <v>Class 1</v>
          </cell>
        </row>
        <row r="67">
          <cell r="F67" t="str">
            <v>Nil</v>
          </cell>
        </row>
        <row r="68">
          <cell r="F68">
            <v>92.8</v>
          </cell>
        </row>
        <row r="69">
          <cell r="F69" t="str">
            <v>Unpl, &amp; Distinctive</v>
          </cell>
        </row>
        <row r="71">
          <cell r="F71" t="str">
            <v>Normal</v>
          </cell>
        </row>
        <row r="72">
          <cell r="F72" t="str">
            <v>Negative</v>
          </cell>
        </row>
        <row r="74">
          <cell r="F74">
            <v>0</v>
          </cell>
        </row>
        <row r="94">
          <cell r="F94">
            <v>0</v>
          </cell>
        </row>
        <row r="124">
          <cell r="F124" t="str">
            <v>24/9/12 8:00</v>
          </cell>
          <cell r="G124">
            <v>42898.333333333336</v>
          </cell>
        </row>
        <row r="125">
          <cell r="F125">
            <v>0</v>
          </cell>
        </row>
        <row r="126">
          <cell r="G126">
            <v>0</v>
          </cell>
        </row>
        <row r="127">
          <cell r="G127">
            <v>23.5</v>
          </cell>
        </row>
        <row r="128">
          <cell r="G128">
            <v>31.2</v>
          </cell>
        </row>
        <row r="129">
          <cell r="G129">
            <v>44.9</v>
          </cell>
        </row>
        <row r="130">
          <cell r="G130">
            <v>0.4</v>
          </cell>
        </row>
        <row r="131">
          <cell r="G131">
            <v>0</v>
          </cell>
        </row>
        <row r="132">
          <cell r="G132">
            <v>0</v>
          </cell>
        </row>
      </sheetData>
      <sheetData sheetId="2">
        <row r="7">
          <cell r="F7" t="str">
            <v>12/7/17 3:00</v>
          </cell>
        </row>
        <row r="45">
          <cell r="F45">
            <v>0</v>
          </cell>
        </row>
        <row r="80">
          <cell r="F80" t="str">
            <v>11/7/17 9:00</v>
          </cell>
          <cell r="G80">
            <v>42900.0625</v>
          </cell>
        </row>
        <row r="81">
          <cell r="F81" t="str">
            <v>TK-848</v>
          </cell>
          <cell r="G81" t="str">
            <v>TK-1072</v>
          </cell>
        </row>
        <row r="82">
          <cell r="F82">
            <v>93.8</v>
          </cell>
          <cell r="G82">
            <v>93.3</v>
          </cell>
        </row>
        <row r="83">
          <cell r="F83">
            <v>0.75</v>
          </cell>
          <cell r="G83">
            <v>0.75</v>
          </cell>
        </row>
        <row r="84">
          <cell r="F84">
            <v>56.8</v>
          </cell>
          <cell r="G84">
            <v>53</v>
          </cell>
        </row>
        <row r="85">
          <cell r="F85">
            <v>41.3</v>
          </cell>
          <cell r="G85">
            <v>41.9</v>
          </cell>
        </row>
        <row r="86">
          <cell r="F86">
            <v>0.9</v>
          </cell>
          <cell r="G86">
            <v>1</v>
          </cell>
        </row>
        <row r="87">
          <cell r="F87">
            <v>0</v>
          </cell>
          <cell r="G87">
            <v>0.2</v>
          </cell>
        </row>
        <row r="88">
          <cell r="G88">
            <v>3.1</v>
          </cell>
        </row>
        <row r="89">
          <cell r="G89">
            <v>32.9</v>
          </cell>
        </row>
        <row r="90">
          <cell r="G90">
            <v>35</v>
          </cell>
        </row>
        <row r="91">
          <cell r="G91">
            <v>57</v>
          </cell>
        </row>
        <row r="92">
          <cell r="G92">
            <v>87.8</v>
          </cell>
        </row>
        <row r="93">
          <cell r="G93">
            <v>189.7</v>
          </cell>
        </row>
        <row r="94">
          <cell r="G94">
            <v>1</v>
          </cell>
        </row>
        <row r="100">
          <cell r="F100">
            <v>0</v>
          </cell>
          <cell r="G100">
            <v>0</v>
          </cell>
        </row>
        <row r="101">
          <cell r="F101">
            <v>0</v>
          </cell>
          <cell r="G101">
            <v>0</v>
          </cell>
        </row>
        <row r="102">
          <cell r="F102">
            <v>0</v>
          </cell>
          <cell r="G102">
            <v>0</v>
          </cell>
        </row>
        <row r="103">
          <cell r="F103">
            <v>0</v>
          </cell>
          <cell r="G103">
            <v>0</v>
          </cell>
        </row>
        <row r="104">
          <cell r="F104">
            <v>0</v>
          </cell>
          <cell r="G104">
            <v>0</v>
          </cell>
        </row>
        <row r="105">
          <cell r="F105">
            <v>0</v>
          </cell>
          <cell r="G105">
            <v>0</v>
          </cell>
        </row>
        <row r="106">
          <cell r="F106">
            <v>0</v>
          </cell>
          <cell r="G106">
            <v>0</v>
          </cell>
        </row>
        <row r="107">
          <cell r="F107">
            <v>0.1</v>
          </cell>
          <cell r="G107">
            <v>3</v>
          </cell>
        </row>
        <row r="108">
          <cell r="G108" t="str">
            <v>Clear &amp; Bright</v>
          </cell>
        </row>
        <row r="110">
          <cell r="G110">
            <v>887</v>
          </cell>
        </row>
        <row r="111">
          <cell r="F111">
            <v>1.2</v>
          </cell>
          <cell r="G111">
            <v>1</v>
          </cell>
        </row>
        <row r="113">
          <cell r="F113">
            <v>0</v>
          </cell>
        </row>
        <row r="146">
          <cell r="F146">
            <v>0</v>
          </cell>
        </row>
        <row r="179">
          <cell r="F179">
            <v>0</v>
          </cell>
        </row>
      </sheetData>
      <sheetData sheetId="3">
        <row r="7">
          <cell r="F7" t="str">
            <v>12/7/17 3:00</v>
          </cell>
        </row>
        <row r="8">
          <cell r="F8" t="str">
            <v>TK-820</v>
          </cell>
        </row>
        <row r="9">
          <cell r="F9">
            <v>0.78</v>
          </cell>
        </row>
        <row r="26">
          <cell r="F26" t="str">
            <v>Clear &amp; Bright</v>
          </cell>
        </row>
      </sheetData>
      <sheetData sheetId="4">
        <row r="7">
          <cell r="F7" t="str">
            <v>12/7/17 3:00</v>
          </cell>
        </row>
        <row r="50">
          <cell r="F50" t="str">
            <v>11/7/17 11:30</v>
          </cell>
        </row>
        <row r="51">
          <cell r="F51" t="str">
            <v>TK-846</v>
          </cell>
        </row>
        <row r="52">
          <cell r="F52">
            <v>0.82</v>
          </cell>
        </row>
        <row r="53">
          <cell r="F53">
            <v>161.80000000000001</v>
          </cell>
        </row>
        <row r="54">
          <cell r="F54">
            <v>209</v>
          </cell>
        </row>
        <row r="55">
          <cell r="F55">
            <v>273.3</v>
          </cell>
        </row>
        <row r="56">
          <cell r="F56">
            <v>341.7</v>
          </cell>
        </row>
        <row r="57">
          <cell r="F57">
            <v>357.7</v>
          </cell>
        </row>
        <row r="58">
          <cell r="F58">
            <v>368.8</v>
          </cell>
        </row>
        <row r="59">
          <cell r="F59">
            <v>34.1</v>
          </cell>
        </row>
        <row r="60">
          <cell r="F60">
            <v>93</v>
          </cell>
        </row>
        <row r="61">
          <cell r="F61">
            <v>95.4</v>
          </cell>
        </row>
        <row r="62">
          <cell r="F62">
            <v>58</v>
          </cell>
        </row>
        <row r="64">
          <cell r="F64">
            <v>6.1</v>
          </cell>
        </row>
        <row r="66">
          <cell r="F66">
            <v>7</v>
          </cell>
        </row>
        <row r="68">
          <cell r="F68">
            <v>-10</v>
          </cell>
        </row>
        <row r="95">
          <cell r="F95" t="str">
            <v>11/7/17 10:00</v>
          </cell>
        </row>
        <row r="96">
          <cell r="F96" t="str">
            <v>TK-822</v>
          </cell>
        </row>
        <row r="97">
          <cell r="F97">
            <v>0.85</v>
          </cell>
        </row>
        <row r="98">
          <cell r="F98">
            <v>177.3</v>
          </cell>
        </row>
        <row r="99">
          <cell r="F99">
            <v>207.2</v>
          </cell>
        </row>
        <row r="100">
          <cell r="F100">
            <v>274.89999999999998</v>
          </cell>
        </row>
        <row r="101">
          <cell r="F101">
            <v>338.5</v>
          </cell>
        </row>
        <row r="102">
          <cell r="F102">
            <v>350.9</v>
          </cell>
        </row>
        <row r="103">
          <cell r="F103">
            <v>377.4</v>
          </cell>
        </row>
        <row r="104">
          <cell r="F104">
            <v>89.6</v>
          </cell>
        </row>
        <row r="105">
          <cell r="F105">
            <v>67</v>
          </cell>
        </row>
        <row r="106">
          <cell r="F106">
            <v>0.09</v>
          </cell>
        </row>
        <row r="107">
          <cell r="F107">
            <v>2.84</v>
          </cell>
        </row>
        <row r="112">
          <cell r="F112">
            <v>-15</v>
          </cell>
        </row>
        <row r="113">
          <cell r="F113">
            <v>-4</v>
          </cell>
        </row>
        <row r="121">
          <cell r="F121" t="str">
            <v>TK-822</v>
          </cell>
        </row>
        <row r="122">
          <cell r="F122" t="str">
            <v>11/7/17 10:26</v>
          </cell>
        </row>
        <row r="145">
          <cell r="F145">
            <v>0</v>
          </cell>
        </row>
        <row r="177">
          <cell r="F177">
            <v>0</v>
          </cell>
        </row>
        <row r="190">
          <cell r="F190">
            <v>0</v>
          </cell>
        </row>
        <row r="202">
          <cell r="F202">
            <v>0</v>
          </cell>
        </row>
      </sheetData>
      <sheetData sheetId="5">
        <row r="7">
          <cell r="F7" t="str">
            <v>12/7/17 3:00</v>
          </cell>
        </row>
        <row r="10">
          <cell r="F10">
            <v>0</v>
          </cell>
        </row>
        <row r="30">
          <cell r="F30">
            <v>0</v>
          </cell>
        </row>
      </sheetData>
      <sheetData sheetId="6">
        <row r="7">
          <cell r="F7" t="str">
            <v>12/7/17 3:00</v>
          </cell>
        </row>
        <row r="8">
          <cell r="F8" t="str">
            <v>TK-830</v>
          </cell>
        </row>
        <row r="11">
          <cell r="F11">
            <v>65</v>
          </cell>
        </row>
        <row r="12">
          <cell r="F12">
            <v>48.5</v>
          </cell>
        </row>
        <row r="14">
          <cell r="F14">
            <v>99.9</v>
          </cell>
        </row>
        <row r="17">
          <cell r="F17">
            <v>53</v>
          </cell>
        </row>
        <row r="18">
          <cell r="F18">
            <v>5</v>
          </cell>
        </row>
        <row r="19">
          <cell r="F19">
            <v>0.1</v>
          </cell>
        </row>
        <row r="20">
          <cell r="F20">
            <v>0</v>
          </cell>
        </row>
        <row r="42">
          <cell r="F42">
            <v>0</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7.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N201"/>
  <sheetViews>
    <sheetView workbookViewId="0"/>
  </sheetViews>
  <sheetFormatPr defaultRowHeight="12.75" x14ac:dyDescent="0.2"/>
  <cols>
    <col min="1" max="1" width="10.5703125" bestFit="1" customWidth="1"/>
    <col min="2" max="2" width="10.5703125" style="94" bestFit="1" customWidth="1"/>
    <col min="4" max="4" width="9.5703125" customWidth="1"/>
    <col min="6" max="6" width="8.28515625" style="6" customWidth="1"/>
    <col min="8" max="8" width="8.5703125" customWidth="1"/>
    <col min="9" max="9" width="10.7109375" customWidth="1"/>
    <col min="10" max="10" width="9.42578125" customWidth="1"/>
    <col min="11" max="11" width="9.28515625" customWidth="1"/>
    <col min="12" max="13" width="9.140625" style="6" customWidth="1"/>
  </cols>
  <sheetData>
    <row r="1" spans="1:14" ht="15.75" thickBot="1" x14ac:dyDescent="0.25">
      <c r="F1" s="30"/>
      <c r="J1" s="118">
        <f>Sheet3!H1</f>
        <v>43425</v>
      </c>
      <c r="K1" s="118"/>
    </row>
    <row r="2" spans="1:14" ht="36.75" customHeight="1" thickBot="1" x14ac:dyDescent="0.25">
      <c r="A2" s="24" t="s">
        <v>0</v>
      </c>
      <c r="B2" s="95" t="s">
        <v>1</v>
      </c>
      <c r="C2" s="25" t="s">
        <v>2</v>
      </c>
      <c r="D2" s="26" t="s">
        <v>138</v>
      </c>
      <c r="E2" s="25" t="s">
        <v>3</v>
      </c>
      <c r="F2" s="26" t="s">
        <v>137</v>
      </c>
      <c r="G2" s="25" t="s">
        <v>4</v>
      </c>
      <c r="H2" s="25" t="s">
        <v>5</v>
      </c>
      <c r="I2" s="26" t="s">
        <v>6</v>
      </c>
      <c r="J2" s="26" t="s">
        <v>7</v>
      </c>
      <c r="K2" s="26" t="s">
        <v>8</v>
      </c>
      <c r="L2" s="26" t="s">
        <v>9</v>
      </c>
      <c r="M2" s="26" t="s">
        <v>10</v>
      </c>
      <c r="N2" s="27" t="s">
        <v>11</v>
      </c>
    </row>
    <row r="3" spans="1:14" ht="12.75" customHeight="1" x14ac:dyDescent="0.2">
      <c r="A3" t="str">
        <f>IF(OR(Sheet4!C3="?",ISNUMBER(Sheet4!C3)),Sheet4!A3,IF(B3="Σύνολα",B2,""))</f>
        <v>TK-802</v>
      </c>
      <c r="B3" s="94" t="str">
        <f>IF(OR(Sheet4!D3="?",ISNUMBER(Sheet4!D3)),MID(Sheet4!B3,4,20),IF(Sheet4!B3="________________","Σύνολα",IF(MID(Sheet4!B2,4,20)="Ballast","Σύνολα","")))</f>
        <v>Crude Oil</v>
      </c>
      <c r="C3">
        <f>IF(LEFT(A3,3)="TK-",VLOOKUP(A3,Sheet3!A:B,2,FALSE),IF(B3="Σύνολα",SUMIF(B$1:B$200,Sheet6!K2,C$1:C$200),""))</f>
        <v>36643</v>
      </c>
      <c r="D3" t="str">
        <f>IF(LEFT(A3,3)="TK-",VLOOKUP(A3,Sheet3!A:C,3,FALSE),"")</f>
        <v>2722+ 678</v>
      </c>
      <c r="E3">
        <f>IF(ISNUMBER(Sheet4!D3),ROUND(Sheet4!D3,1),IF(B3="Σύνολα",SUMIF(B$1:B$200,Sheet6!K2,E$1:E$200),""))</f>
        <v>36643.1</v>
      </c>
      <c r="F3" s="31">
        <f>IF(ISNUMBER(Sheet4!E3),Sheet4!E3,"")</f>
        <v>15</v>
      </c>
      <c r="G3">
        <f>IF(ISNUMBER(Sheet4!G3),ROUND(Sheet4!G3,1),IF(B3="Σύνολα",SUMIF(B$1:B$200,Sheet6!K2,G$1:G$200),""))</f>
        <v>36643.1</v>
      </c>
      <c r="H3" t="str">
        <f>IF(ISNUMBER(Sheet4!F3),ROUND(Sheet4!F3,1),IF(B3="Σύνολα",SUMIF(B$1:B$200,Sheet6!K2,H$1:H$200),""))</f>
        <v/>
      </c>
      <c r="I3">
        <f>IF(ISNUMBER(Sheet4!J3),ROUND(Sheet4!J3,1),IF(B3="Σύνολα",SUMIF(B$1:B$200,Sheet6!K2,I$1:I$200),""))</f>
        <v>35</v>
      </c>
      <c r="J3">
        <f>IF(LEFT(A3,3)="TK-",VLOOKUP(A3,Sheet3!A:D,4,FALSE),IF(B3="Σύνολα",SUMIF(B$1:B$200,Sheet6!K2,J$1:J$200),""))</f>
        <v>6200</v>
      </c>
      <c r="K3">
        <f>IF(B3="Σύνολα",SUMIF(B$1:B$200,Sheet6!K2,K$1:K$200),IF(ISNUMBER(E3),IF(E3&gt;J3,ROUND((E3-J3),1),""),""))</f>
        <v>30443.1</v>
      </c>
      <c r="L3" s="6" t="str">
        <f>IF(ISNUMBER(Sheet4!J3),IF(AND(ISNUMBER(H3),H3&gt;0,I3&gt;0),ROUNDDOWN(H3/I3,0),""),"")</f>
        <v/>
      </c>
      <c r="M3" s="6" t="str">
        <f>IF(AND(ISNUMBER(Sheet4!J3),ISNUMBER(K3)),IF(I3&lt;0,ROUNDDOWN(K3/I3,0),""),"")</f>
        <v/>
      </c>
      <c r="N3" s="29">
        <f>IF(ISNUMBER(Sheet4!H3),Sheet4!H3/1000,"")</f>
        <v>0.8296</v>
      </c>
    </row>
    <row r="4" spans="1:14" ht="12.75" customHeight="1" x14ac:dyDescent="0.2">
      <c r="A4" t="str">
        <f>IF(OR(Sheet4!C4="?",ISNUMBER(Sheet4!C4)),Sheet4!A4,IF(B4="Σύνολα",B3,""))</f>
        <v>TK-803</v>
      </c>
      <c r="B4" s="94" t="str">
        <f>IF(OR(Sheet4!D4="?",ISNUMBER(Sheet4!D4)),MID(Sheet4!B4,4,20),IF(Sheet4!B4="________________","Σύνολα",IF(MID(Sheet4!B3,4,20)="Ballast","Σύνολα","")))</f>
        <v>Crude Oil</v>
      </c>
      <c r="C4">
        <f>IF(LEFT(A4,3)="TK-",VLOOKUP(A4,Sheet3!A:B,2,FALSE),IF(B4="Σύνολα",SUMIF(B$1:B$200,Sheet6!K3,C$1:C$200),""))</f>
        <v>36665</v>
      </c>
      <c r="D4" t="str">
        <f>IF(LEFT(A4,3)="TK-",VLOOKUP(A4,Sheet3!A:C,3,FALSE),"")</f>
        <v>2722+ 649</v>
      </c>
      <c r="E4">
        <f>IF(ISNUMBER(Sheet4!D4),ROUND(Sheet4!D4,1),IF(B4="Σύνολα",SUMIF(B$1:B$200,Sheet6!K3,E$1:E$200),""))</f>
        <v>28662.1</v>
      </c>
      <c r="F4" s="31">
        <f>IF(ISNUMBER(Sheet4!E4),Sheet4!E4,"")</f>
        <v>27</v>
      </c>
      <c r="G4">
        <f>IF(ISNUMBER(Sheet4!G4),ROUND(Sheet4!G4,1),IF(B4="Σύνολα",SUMIF(B$1:B$200,Sheet6!K3,G$1:G$200),""))</f>
        <v>28376.9</v>
      </c>
      <c r="H4">
        <f>IF(ISNUMBER(Sheet4!F4),ROUND(Sheet4!F4,1),IF(B4="Σύνολα",SUMIF(B$1:B$200,Sheet6!K3,H$1:H$200),""))</f>
        <v>7793.3</v>
      </c>
      <c r="I4">
        <f>IF(ISNUMBER(Sheet4!J4),ROUND(Sheet4!J4,1),IF(B4="Σύνολα",SUMIF(B$1:B$200,Sheet6!K3,I$1:I$200),""))</f>
        <v>85.9</v>
      </c>
      <c r="J4">
        <f>IF(LEFT(A4,3)="TK-",VLOOKUP(A4,Sheet3!A:D,4,FALSE),IF(B4="Σύνολα",SUMIF(B$1:B$200,Sheet6!K3,J$1:J$200),""))</f>
        <v>6200</v>
      </c>
      <c r="K4">
        <f>IF(B4="Σύνολα",SUMIF(B$1:B$200,Sheet6!K3,K$1:K$200),IF(ISNUMBER(E4),IF(E4&gt;J4,ROUND((E4-J4),1),""),""))</f>
        <v>22462.1</v>
      </c>
      <c r="L4" s="6">
        <f>IF(ISNUMBER(Sheet4!J4),IF(AND(ISNUMBER(H4),H4&gt;0,I4&gt;0),ROUNDDOWN(H4/I4,0),""),"")</f>
        <v>90</v>
      </c>
      <c r="M4" s="6" t="str">
        <f>IF(AND(ISNUMBER(Sheet4!J4),ISNUMBER(K4)),IF(I4&lt;0,ROUNDDOWN(K4/I4,0),""),"")</f>
        <v/>
      </c>
      <c r="N4" s="29">
        <f>IF(ISNUMBER(Sheet4!H4),Sheet4!H4/1000,"")</f>
        <v>0.83460000000000001</v>
      </c>
    </row>
    <row r="5" spans="1:14" ht="12.75" customHeight="1" x14ac:dyDescent="0.2">
      <c r="A5" t="str">
        <f>IF(OR(Sheet4!C5="?",ISNUMBER(Sheet4!C5)),Sheet4!A5,IF(B5="Σύνολα",B4,""))</f>
        <v>TK-804</v>
      </c>
      <c r="B5" s="94" t="str">
        <f>IF(OR(Sheet4!D5="?",ISNUMBER(Sheet4!D5)),MID(Sheet4!B5,4,20),IF(Sheet4!B5="________________","Σύνολα",IF(MID(Sheet4!B4,4,20)="Ballast","Σύνολα","")))</f>
        <v>Crude Oil</v>
      </c>
      <c r="C5">
        <f>IF(LEFT(A5,3)="TK-",VLOOKUP(A5,Sheet3!A:B,2,FALSE),IF(B5="Σύνολα",SUMIF(B$1:B$200,Sheet6!K4,C$1:C$200),""))</f>
        <v>36659</v>
      </c>
      <c r="D5" t="str">
        <f>IF(LEFT(A5,3)="TK-",VLOOKUP(A5,Sheet3!A:C,3,FALSE),"")</f>
        <v>2722+ 680</v>
      </c>
      <c r="E5">
        <f>IF(ISNUMBER(Sheet4!D5),ROUND(Sheet4!D5,1),IF(B5="Σύνολα",SUMIF(B$1:B$200,Sheet6!K4,E$1:E$200),""))</f>
        <v>16399.099999999999</v>
      </c>
      <c r="F5" s="31">
        <f>IF(ISNUMBER(Sheet4!E5),Sheet4!E5,"")</f>
        <v>16.8</v>
      </c>
      <c r="G5">
        <f>IF(ISNUMBER(Sheet4!G5),ROUND(Sheet4!G5,1),IF(B5="Σύνολα",SUMIF(B$1:B$200,Sheet6!K4,G$1:G$200),""))</f>
        <v>16373.6</v>
      </c>
      <c r="H5">
        <f>IF(ISNUMBER(Sheet4!F5),ROUND(Sheet4!F5,1),IF(B5="Σύνολα",SUMIF(B$1:B$200,Sheet6!K4,H$1:H$200),""))</f>
        <v>20048.3</v>
      </c>
      <c r="I5">
        <f>IF(ISNUMBER(Sheet4!J5),ROUND(Sheet4!J5,1),IF(B5="Σύνολα",SUMIF(B$1:B$200,Sheet6!K4,I$1:I$200),""))</f>
        <v>-13030.3</v>
      </c>
      <c r="J5">
        <f>IF(LEFT(A5,3)="TK-",VLOOKUP(A5,Sheet3!A:D,4,FALSE),IF(B5="Σύνολα",SUMIF(B$1:B$200,Sheet6!K4,J$1:J$200),""))</f>
        <v>6200</v>
      </c>
      <c r="K5">
        <f>IF(B5="Σύνολα",SUMIF(B$1:B$200,Sheet6!K4,K$1:K$200),IF(ISNUMBER(E5),IF(E5&gt;J5,ROUND((E5-J5),1),""),""))</f>
        <v>10199.1</v>
      </c>
      <c r="L5" s="6" t="str">
        <f>IF(ISNUMBER(Sheet4!J5),IF(AND(ISNUMBER(H5),H5&gt;0,I5&gt;0),ROUNDDOWN(H5/I5,0),""),"")</f>
        <v/>
      </c>
      <c r="M5" s="6">
        <f>IF(AND(ISNUMBER(Sheet4!J5),ISNUMBER(K5)),IF(I5&lt;0,ROUNDDOWN(K5/I5,0),""),"")</f>
        <v>0</v>
      </c>
      <c r="N5" s="29">
        <f>IF(ISNUMBER(Sheet4!H5),Sheet4!H5/1000,"")</f>
        <v>0.84499999999999997</v>
      </c>
    </row>
    <row r="6" spans="1:14" ht="12.75" customHeight="1" x14ac:dyDescent="0.2">
      <c r="A6" t="str">
        <f>IF(OR(Sheet4!C6="?",ISNUMBER(Sheet4!C6)),Sheet4!A6,IF(B6="Σύνολα",B5,""))</f>
        <v>TK-806</v>
      </c>
      <c r="B6" s="94" t="str">
        <f>IF(OR(Sheet4!D6="?",ISNUMBER(Sheet4!D6)),MID(Sheet4!B6,4,20),IF(Sheet4!B6="________________","Σύνολα",IF(MID(Sheet4!B5,4,20)="Ballast","Σύνολα","")))</f>
        <v>Crude Oil</v>
      </c>
      <c r="C6">
        <f>IF(LEFT(A6,3)="TK-",VLOOKUP(A6,Sheet3!A:B,2,FALSE),IF(B6="Σύνολα",SUMIF(B$1:B$200,Sheet6!K5,C$1:C$200),""))</f>
        <v>58532</v>
      </c>
      <c r="D6" t="str">
        <f>IF(LEFT(A6,3)="TK-",VLOOKUP(A6,Sheet3!A:C,3,FALSE),"")</f>
        <v>4180+1204</v>
      </c>
      <c r="E6">
        <f>IF(ISNUMBER(Sheet4!D6),ROUND(Sheet4!D6,1),IF(B6="Σύνολα",SUMIF(B$1:B$200,Sheet6!K5,E$1:E$200),""))</f>
        <v>34912.699999999997</v>
      </c>
      <c r="F6" s="31">
        <f>IF(ISNUMBER(Sheet4!E6),Sheet4!E6,"")</f>
        <v>21.6</v>
      </c>
      <c r="G6">
        <f>IF(ISNUMBER(Sheet4!G6),ROUND(Sheet4!G6,1),IF(B6="Σύνολα",SUMIF(B$1:B$200,Sheet6!K5,G$1:G$200),""))</f>
        <v>34623.300000000003</v>
      </c>
      <c r="H6">
        <f>IF(ISNUMBER(Sheet4!F6),ROUND(Sheet4!F6,1),IF(B6="Σύνολα",SUMIF(B$1:B$200,Sheet6!K5,H$1:H$200),""))</f>
        <v>23221.9</v>
      </c>
      <c r="I6">
        <f>IF(ISNUMBER(Sheet4!J6),ROUND(Sheet4!J6,1),IF(B6="Σύνολα",SUMIF(B$1:B$200,Sheet6!K5,I$1:I$200),""))</f>
        <v>7344.6</v>
      </c>
      <c r="J6">
        <f>IF(LEFT(A6,3)="TK-",VLOOKUP(A6,Sheet3!A:D,4,FALSE),IF(B6="Σύνολα",SUMIF(B$1:B$200,Sheet6!K5,J$1:J$200),""))</f>
        <v>9550</v>
      </c>
      <c r="K6">
        <f>IF(B6="Σύνολα",SUMIF(B$1:B$200,Sheet6!K5,K$1:K$200),IF(ISNUMBER(E6),IF(E6&gt;J6,ROUND((E6-J6),1),""),""))</f>
        <v>25362.7</v>
      </c>
      <c r="L6" s="6">
        <f>IF(ISNUMBER(Sheet4!J6),IF(AND(ISNUMBER(H6),H6&gt;0,I6&gt;0),ROUNDDOWN(H6/I6,0),""),"")</f>
        <v>3</v>
      </c>
      <c r="M6" s="6" t="str">
        <f>IF(AND(ISNUMBER(Sheet4!J6),ISNUMBER(K6)),IF(I6&lt;0,ROUNDDOWN(K6/I6,0),""),"")</f>
        <v/>
      </c>
      <c r="N6" s="29">
        <f>IF(ISNUMBER(Sheet4!H6),Sheet4!H6/1000,"")</f>
        <v>0.84510000000000007</v>
      </c>
    </row>
    <row r="7" spans="1:14" ht="12.75" customHeight="1" x14ac:dyDescent="0.2">
      <c r="A7" t="str">
        <f>IF(OR(Sheet4!C7="?",ISNUMBER(Sheet4!C7)),Sheet4!A7,IF(B7="Σύνολα",B6,""))</f>
        <v>TK-881</v>
      </c>
      <c r="B7" s="94" t="str">
        <f>IF(OR(Sheet4!D7="?",ISNUMBER(Sheet4!D7)),MID(Sheet4!B7,4,20),IF(Sheet4!B7="________________","Σύνολα",IF(MID(Sheet4!B6,4,20)="Ballast","Σύνολα","")))</f>
        <v>Crude Oil</v>
      </c>
      <c r="C7">
        <f>IF(LEFT(A7,3)="TK-",VLOOKUP(A7,Sheet3!A:B,2,FALSE),IF(B7="Σύνολα",SUMIF(B$1:B$200,Sheet6!K6,C$1:C$200),""))</f>
        <v>77207</v>
      </c>
      <c r="D7" t="str">
        <f>IF(LEFT(A7,3)="TK-",VLOOKUP(A7,Sheet3!A:C,3,FALSE),"")</f>
        <v>4676+1604</v>
      </c>
      <c r="E7">
        <f>IF(ISNUMBER(Sheet4!D7),ROUND(Sheet4!D7,1),IF(B7="Σύνολα",SUMIF(B$1:B$200,Sheet6!K6,E$1:E$200),""))</f>
        <v>66062.7</v>
      </c>
      <c r="F7" s="31">
        <f>IF(ISNUMBER(Sheet4!E7),Sheet4!E7,"")</f>
        <v>17.600000000000001</v>
      </c>
      <c r="G7">
        <f>IF(ISNUMBER(Sheet4!G7),ROUND(Sheet4!G7,1),IF(B7="Σύνολα",SUMIF(B$1:B$200,Sheet6!K6,G$1:G$200),""))</f>
        <v>65931.899999999994</v>
      </c>
      <c r="H7">
        <f>IF(ISNUMBER(Sheet4!F7),ROUND(Sheet4!F7,1),IF(B7="Σύνολα",SUMIF(B$1:B$200,Sheet6!K6,H$1:H$200),""))</f>
        <v>10488.1</v>
      </c>
      <c r="I7">
        <f>IF(ISNUMBER(Sheet4!J7),ROUND(Sheet4!J7,1),IF(B7="Σύνολα",SUMIF(B$1:B$200,Sheet6!K6,I$1:I$200),""))</f>
        <v>5.4</v>
      </c>
      <c r="J7">
        <f>IF(LEFT(A7,3)="TK-",VLOOKUP(A7,Sheet3!A:D,4,FALSE),IF(B7="Σύνολα",SUMIF(B$1:B$200,Sheet6!K6,J$1:J$200),""))</f>
        <v>10870</v>
      </c>
      <c r="K7">
        <f>IF(B7="Σύνολα",SUMIF(B$1:B$200,Sheet6!K6,K$1:K$200),IF(ISNUMBER(E7),IF(E7&gt;J7,ROUND((E7-J7),1),""),""))</f>
        <v>55192.7</v>
      </c>
      <c r="L7" s="6">
        <f>IF(ISNUMBER(Sheet4!J7),IF(AND(ISNUMBER(H7),H7&gt;0,I7&gt;0),ROUNDDOWN(H7/I7,0),""),"")</f>
        <v>1942</v>
      </c>
      <c r="M7" s="6" t="str">
        <f>IF(AND(ISNUMBER(Sheet4!J7),ISNUMBER(K7)),IF(I7&lt;0,ROUNDDOWN(K7/I7,0),""),"")</f>
        <v/>
      </c>
      <c r="N7" s="29">
        <f>IF(ISNUMBER(Sheet4!H7),Sheet4!H7/1000,"")</f>
        <v>0.876</v>
      </c>
    </row>
    <row r="8" spans="1:14" ht="12.75" customHeight="1" x14ac:dyDescent="0.2">
      <c r="A8" t="str">
        <f>IF(OR(Sheet4!C8="?",ISNUMBER(Sheet4!C8)),Sheet4!A8,IF(B8="Σύνολα",B7,""))</f>
        <v>TK-882</v>
      </c>
      <c r="B8" s="94" t="str">
        <f>IF(OR(Sheet4!D8="?",ISNUMBER(Sheet4!D8)),MID(Sheet4!B8,4,20),IF(Sheet4!B8="________________","Σύνολα",IF(MID(Sheet4!B7,4,20)="Ballast","Σύνολα","")))</f>
        <v>Crude Oil</v>
      </c>
      <c r="C8">
        <f>IF(LEFT(A8,3)="TK-",VLOOKUP(A8,Sheet3!A:B,2,FALSE),IF(B8="Σύνολα",SUMIF(B$1:B$200,Sheet6!K7,C$1:C$200),""))</f>
        <v>77209</v>
      </c>
      <c r="D8" t="str">
        <f>IF(LEFT(A8,3)="TK-",VLOOKUP(A8,Sheet3!A:C,3,FALSE),"")</f>
        <v>4676+1531</v>
      </c>
      <c r="E8">
        <f>IF(ISNUMBER(Sheet4!D8),ROUND(Sheet4!D8,1),IF(B8="Σύνολα",SUMIF(B$1:B$200,Sheet6!K7,E$1:E$200),""))</f>
        <v>76845</v>
      </c>
      <c r="F8" s="31">
        <f>IF(ISNUMBER(Sheet4!E8),Sheet4!E8,"")</f>
        <v>16.8</v>
      </c>
      <c r="G8">
        <f>IF(ISNUMBER(Sheet4!G8),ROUND(Sheet4!G8,1),IF(B8="Σύνολα",SUMIF(B$1:B$200,Sheet6!K7,G$1:G$200),""))</f>
        <v>76733.5</v>
      </c>
      <c r="H8" t="str">
        <f>IF(ISNUMBER(Sheet4!F8),ROUND(Sheet4!F8,1),IF(B8="Σύνολα",SUMIF(B$1:B$200,Sheet6!K7,H$1:H$200),""))</f>
        <v/>
      </c>
      <c r="I8">
        <f>IF(ISNUMBER(Sheet4!J8),ROUND(Sheet4!J8,1),IF(B8="Σύνολα",SUMIF(B$1:B$200,Sheet6!K7,I$1:I$200),""))</f>
        <v>15.9</v>
      </c>
      <c r="J8">
        <f>IF(LEFT(A8,3)="TK-",VLOOKUP(A8,Sheet3!A:D,4,FALSE),IF(B8="Σύνολα",SUMIF(B$1:B$200,Sheet6!K7,J$1:J$200),""))</f>
        <v>10870</v>
      </c>
      <c r="K8">
        <f>IF(B8="Σύνολα",SUMIF(B$1:B$200,Sheet6!K7,K$1:K$200),IF(ISNUMBER(E8),IF(E8&gt;J8,ROUND((E8-J8),1),""),""))</f>
        <v>65975</v>
      </c>
      <c r="L8" s="6" t="str">
        <f>IF(ISNUMBER(Sheet4!J8),IF(AND(ISNUMBER(H8),H8&gt;0,I8&gt;0),ROUNDDOWN(H8/I8,0),""),"")</f>
        <v/>
      </c>
      <c r="M8" s="6" t="str">
        <f>IF(AND(ISNUMBER(Sheet4!J8),ISNUMBER(K8)),IF(I8&lt;0,ROUNDDOWN(K8/I8,0),""),"")</f>
        <v/>
      </c>
      <c r="N8" s="29">
        <f>IF(ISNUMBER(Sheet4!H8),Sheet4!H8/1000,"")</f>
        <v>0.872</v>
      </c>
    </row>
    <row r="9" spans="1:14" ht="12.75" customHeight="1" x14ac:dyDescent="0.2">
      <c r="A9" t="str">
        <f>IF(OR(Sheet4!C9="?",ISNUMBER(Sheet4!C9)),Sheet4!A9,IF(B9="Σύνολα",B8,""))</f>
        <v>TK-883</v>
      </c>
      <c r="B9" s="94" t="str">
        <f>IF(OR(Sheet4!D9="?",ISNUMBER(Sheet4!D9)),MID(Sheet4!B9,4,20),IF(Sheet4!B9="________________","Σύνολα",IF(MID(Sheet4!B8,4,20)="Ballast","Σύνολα","")))</f>
        <v>Crude Oil</v>
      </c>
      <c r="C9">
        <f>IF(LEFT(A9,3)="TK-",VLOOKUP(A9,Sheet3!A:B,2,FALSE),IF(B9="Σύνολα",SUMIF(B$1:B$200,Sheet6!K8,C$1:C$200),""))</f>
        <v>56984</v>
      </c>
      <c r="D9" t="str">
        <f>IF(LEFT(A9,3)="TK-",VLOOKUP(A9,Sheet3!A:C,3,FALSE),"")</f>
        <v>3635+1140</v>
      </c>
      <c r="E9">
        <f>IF(ISNUMBER(Sheet4!D9),ROUND(Sheet4!D9,1),IF(B9="Σύνολα",SUMIF(B$1:B$200,Sheet6!K8,E$1:E$200),""))</f>
        <v>56346.6</v>
      </c>
      <c r="F9" s="31">
        <f>IF(ISNUMBER(Sheet4!E9),Sheet4!E9,"")</f>
        <v>17.3</v>
      </c>
      <c r="G9">
        <f>IF(ISNUMBER(Sheet4!G9),ROUND(Sheet4!G9,1),IF(B9="Σύνολα",SUMIF(B$1:B$200,Sheet6!K8,G$1:G$200),""))</f>
        <v>56222.7</v>
      </c>
      <c r="H9">
        <f>IF(ISNUMBER(Sheet4!F9),ROUND(Sheet4!F9,1),IF(B9="Σύνολα",SUMIF(B$1:B$200,Sheet6!K8,H$1:H$200),""))</f>
        <v>88.1</v>
      </c>
      <c r="I9">
        <f>IF(ISNUMBER(Sheet4!J9),ROUND(Sheet4!J9,1),IF(B9="Σύνολα",SUMIF(B$1:B$200,Sheet6!K8,I$1:I$200),""))</f>
        <v>39.799999999999997</v>
      </c>
      <c r="J9">
        <f>IF(LEFT(A9,3)="TK-",VLOOKUP(A9,Sheet3!A:D,4,FALSE),IF(B9="Σύνολα",SUMIF(B$1:B$200,Sheet6!K8,J$1:J$200),""))</f>
        <v>6070</v>
      </c>
      <c r="K9">
        <f>IF(B9="Σύνολα",SUMIF(B$1:B$200,Sheet6!K8,K$1:K$200),IF(ISNUMBER(E9),IF(E9&gt;J9,ROUND((E9-J9),1),""),""))</f>
        <v>50276.6</v>
      </c>
      <c r="L9" s="6">
        <f>IF(ISNUMBER(Sheet4!J9),IF(AND(ISNUMBER(H9),H9&gt;0,I9&gt;0),ROUNDDOWN(H9/I9,0),""),"")</f>
        <v>2</v>
      </c>
      <c r="M9" s="6" t="str">
        <f>IF(AND(ISNUMBER(Sheet4!J9),ISNUMBER(K9)),IF(I9&lt;0,ROUNDDOWN(K9/I9,0),""),"")</f>
        <v/>
      </c>
      <c r="N9" s="29">
        <f>IF(ISNUMBER(Sheet4!H9),Sheet4!H9/1000,"")</f>
        <v>0.80200000000000005</v>
      </c>
    </row>
    <row r="10" spans="1:14" ht="12.75" customHeight="1" x14ac:dyDescent="0.2">
      <c r="A10" t="str">
        <f>IF(OR(Sheet4!C10="?",ISNUMBER(Sheet4!C10)),Sheet4!A10,IF(B10="Σύνολα",B9,""))</f>
        <v>TK-884</v>
      </c>
      <c r="B10" s="94" t="str">
        <f>IF(OR(Sheet4!D10="?",ISNUMBER(Sheet4!D10)),MID(Sheet4!B10,4,20),IF(Sheet4!B10="________________","Σύνολα",IF(MID(Sheet4!B9,4,20)="Ballast","Σύνολα","")))</f>
        <v>Crude Oil</v>
      </c>
      <c r="C10">
        <f>IF(LEFT(A10,3)="TK-",VLOOKUP(A10,Sheet3!A:B,2,FALSE),IF(B10="Σύνολα",SUMIF(B$1:B$200,Sheet6!K9,C$1:C$200),""))</f>
        <v>56810</v>
      </c>
      <c r="D10" t="str">
        <f>IF(LEFT(A10,3)="TK-",VLOOKUP(A10,Sheet3!A:C,3,FALSE),"")</f>
        <v>3633+1006</v>
      </c>
      <c r="E10">
        <f>IF(ISNUMBER(Sheet4!D10),ROUND(Sheet4!D10,1),IF(B10="Σύνολα",SUMIF(B$1:B$200,Sheet6!K9,E$1:E$200),""))</f>
        <v>7958.6</v>
      </c>
      <c r="F10" s="31">
        <f>IF(ISNUMBER(Sheet4!E10),Sheet4!E10,"")</f>
        <v>16.100000000000001</v>
      </c>
      <c r="G10">
        <f>IF(ISNUMBER(Sheet4!G10),ROUND(Sheet4!G10,1),IF(B10="Σύνολα",SUMIF(B$1:B$200,Sheet6!K9,G$1:G$200),""))</f>
        <v>7940.2</v>
      </c>
      <c r="H10">
        <f>IF(ISNUMBER(Sheet4!F10),ROUND(Sheet4!F10,1),IF(B10="Σύνολα",SUMIF(B$1:B$200,Sheet6!K9,H$1:H$200),""))</f>
        <v>48339.3</v>
      </c>
      <c r="I10">
        <f>IF(ISNUMBER(Sheet4!J10),ROUND(Sheet4!J10,1),IF(B10="Σύνολα",SUMIF(B$1:B$200,Sheet6!K9,I$1:I$200),""))</f>
        <v>25.4</v>
      </c>
      <c r="J10">
        <f>IF(LEFT(A10,3)="TK-",VLOOKUP(A10,Sheet3!A:D,4,FALSE),IF(B10="Σύνολα",SUMIF(B$1:B$200,Sheet6!K9,J$1:J$200),""))</f>
        <v>5930</v>
      </c>
      <c r="K10">
        <f>IF(B10="Σύνολα",SUMIF(B$1:B$200,Sheet6!K9,K$1:K$200),IF(ISNUMBER(E10),IF(E10&gt;J10,ROUND((E10-J10),1),""),""))</f>
        <v>2028.6</v>
      </c>
      <c r="L10" s="6">
        <f>IF(ISNUMBER(Sheet4!J10),IF(AND(ISNUMBER(H10),H10&gt;0,I10&gt;0),ROUNDDOWN(H10/I10,0),""),"")</f>
        <v>1903</v>
      </c>
      <c r="M10" s="6" t="str">
        <f>IF(AND(ISNUMBER(Sheet4!J10),ISNUMBER(K10)),IF(I10&lt;0,ROUNDDOWN(K10/I10,0),""),"")</f>
        <v/>
      </c>
      <c r="N10" s="29">
        <f>IF(ISNUMBER(Sheet4!H10),Sheet4!H10/1000,"")</f>
        <v>0.86339999999999995</v>
      </c>
    </row>
    <row r="11" spans="1:14" ht="12.75" customHeight="1" x14ac:dyDescent="0.2">
      <c r="A11" t="str">
        <f>IF(OR(Sheet4!C11="?",ISNUMBER(Sheet4!C11)),Sheet4!A11,IF(B11="Σύνολα",B10,""))</f>
        <v>TK-885</v>
      </c>
      <c r="B11" s="94" t="str">
        <f>IF(OR(Sheet4!D11="?",ISNUMBER(Sheet4!D11)),MID(Sheet4!B11,4,20),IF(Sheet4!B11="________________","Σύνολα",IF(MID(Sheet4!B10,4,20)="Ballast","Σύνολα","")))</f>
        <v>Crude Oil</v>
      </c>
      <c r="C11">
        <f>IF(LEFT(A11,3)="TK-",VLOOKUP(A11,Sheet3!A:B,2,FALSE),IF(B11="Σύνολα",SUMIF(B$1:B$200,Sheet6!K10,C$1:C$200),""))</f>
        <v>56587</v>
      </c>
      <c r="D11" t="str">
        <f>IF(LEFT(A11,3)="TK-",VLOOKUP(A11,Sheet3!A:C,3,FALSE),"")</f>
        <v>3633+850</v>
      </c>
      <c r="E11">
        <f>IF(ISNUMBER(Sheet4!D11),ROUND(Sheet4!D11,1),IF(B11="Σύνολα",SUMIF(B$1:B$200,Sheet6!K10,E$1:E$200),""))</f>
        <v>46635.6</v>
      </c>
      <c r="F11" s="31">
        <f>IF(ISNUMBER(Sheet4!E11),Sheet4!E11,"")</f>
        <v>16.399999999999999</v>
      </c>
      <c r="G11">
        <f>IF(ISNUMBER(Sheet4!G11),ROUND(Sheet4!G11,1),IF(B11="Σύνολα",SUMIF(B$1:B$200,Sheet6!K10,G$1:G$200),""))</f>
        <v>46572.7</v>
      </c>
      <c r="H11">
        <f>IF(ISNUMBER(Sheet4!F11),ROUND(Sheet4!F11,1),IF(B11="Σύνολα",SUMIF(B$1:B$200,Sheet6!K10,H$1:H$200),""))</f>
        <v>9399.6</v>
      </c>
      <c r="I11">
        <f>IF(ISNUMBER(Sheet4!J11),ROUND(Sheet4!J11,1),IF(B11="Σύνολα",SUMIF(B$1:B$200,Sheet6!K10,I$1:I$200),""))</f>
        <v>4.3</v>
      </c>
      <c r="J11">
        <f>IF(LEFT(A11,3)="TK-",VLOOKUP(A11,Sheet3!A:D,4,FALSE),IF(B11="Σύνολα",SUMIF(B$1:B$200,Sheet6!K10,J$1:J$200),""))</f>
        <v>5721</v>
      </c>
      <c r="K11">
        <f>IF(B11="Σύνολα",SUMIF(B$1:B$200,Sheet6!K10,K$1:K$200),IF(ISNUMBER(E11),IF(E11&gt;J11,ROUND((E11-J11),1),""),""))</f>
        <v>40914.6</v>
      </c>
      <c r="L11" s="6">
        <f>IF(ISNUMBER(Sheet4!J11),IF(AND(ISNUMBER(H11),H11&gt;0,I11&gt;0),ROUNDDOWN(H11/I11,0),""),"")</f>
        <v>2185</v>
      </c>
      <c r="M11" s="6" t="str">
        <f>IF(AND(ISNUMBER(Sheet4!J11),ISNUMBER(K11)),IF(I11&lt;0,ROUNDDOWN(K11/I11,0),""),"")</f>
        <v/>
      </c>
      <c r="N11" s="29">
        <f>IF(ISNUMBER(Sheet4!H11),Sheet4!H11/1000,"")</f>
        <v>0.79959999999999998</v>
      </c>
    </row>
    <row r="12" spans="1:14" ht="12.75" customHeight="1" x14ac:dyDescent="0.2">
      <c r="A12" t="str">
        <f>IF(OR(Sheet4!C12="?",ISNUMBER(Sheet4!C12)),Sheet4!A12,IF(B12="Σύνολα",B11,""))</f>
        <v>TK-886</v>
      </c>
      <c r="B12" s="94" t="str">
        <f>IF(OR(Sheet4!D12="?",ISNUMBER(Sheet4!D12)),MID(Sheet4!B12,4,20),IF(Sheet4!B12="________________","Σύνολα",IF(MID(Sheet4!B11,4,20)="Ballast","Σύνολα","")))</f>
        <v>Crude Oil</v>
      </c>
      <c r="C12">
        <f>IF(LEFT(A12,3)="TK-",VLOOKUP(A12,Sheet3!A:B,2,FALSE),IF(B12="Σύνολα",SUMIF(B$1:B$200,Sheet6!K11,C$1:C$200),""))</f>
        <v>56575</v>
      </c>
      <c r="D12" t="str">
        <f>IF(LEFT(A12,3)="TK-",VLOOKUP(A12,Sheet3!A:C,3,FALSE),"")</f>
        <v>3636+760</v>
      </c>
      <c r="E12">
        <f>IF(ISNUMBER(Sheet4!D12),ROUND(Sheet4!D12,1),IF(B12="Σύνολα",SUMIF(B$1:B$200,Sheet6!K11,E$1:E$200),""))</f>
        <v>53959.9</v>
      </c>
      <c r="F12" s="31">
        <f>IF(ISNUMBER(Sheet4!E12),Sheet4!E12,"")</f>
        <v>16.5</v>
      </c>
      <c r="G12">
        <f>IF(ISNUMBER(Sheet4!G12),ROUND(Sheet4!G12,1),IF(B12="Σύνολα",SUMIF(B$1:B$200,Sheet6!K11,G$1:G$200),""))</f>
        <v>53894.6</v>
      </c>
      <c r="H12">
        <f>IF(ISNUMBER(Sheet4!F12),ROUND(Sheet4!F12,1),IF(B12="Σύνολα",SUMIF(B$1:B$200,Sheet6!K11,H$1:H$200),""))</f>
        <v>2095</v>
      </c>
      <c r="I12">
        <f>IF(ISNUMBER(Sheet4!J12),ROUND(Sheet4!J12,1),IF(B12="Σύνολα",SUMIF(B$1:B$200,Sheet6!K11,I$1:I$200),""))</f>
        <v>8</v>
      </c>
      <c r="J12">
        <f>IF(LEFT(A12,3)="TK-",VLOOKUP(A12,Sheet3!A:D,4,FALSE),IF(B12="Σύνολα",SUMIF(B$1:B$200,Sheet6!K11,J$1:J$200),""))</f>
        <v>5687</v>
      </c>
      <c r="K12">
        <f>IF(B12="Σύνολα",SUMIF(B$1:B$200,Sheet6!K11,K$1:K$200),IF(ISNUMBER(E12),IF(E12&gt;J12,ROUND((E12-J12),1),""),""))</f>
        <v>48272.9</v>
      </c>
      <c r="L12" s="6">
        <f>IF(ISNUMBER(Sheet4!J12),IF(AND(ISNUMBER(H12),H12&gt;0,I12&gt;0),ROUNDDOWN(H12/I12,0),""),"")</f>
        <v>261</v>
      </c>
      <c r="M12" s="6" t="str">
        <f>IF(AND(ISNUMBER(Sheet4!J12),ISNUMBER(K12)),IF(I12&lt;0,ROUNDDOWN(K12/I12,0),""),"")</f>
        <v/>
      </c>
      <c r="N12" s="29">
        <f>IF(ISNUMBER(Sheet4!H12),Sheet4!H12/1000,"")</f>
        <v>0.8478</v>
      </c>
    </row>
    <row r="13" spans="1:14" ht="12.75" customHeight="1" x14ac:dyDescent="0.2">
      <c r="A13" t="str">
        <f>IF(OR(Sheet4!C13="?",ISNUMBER(Sheet4!C13)),Sheet4!A13,IF(B13="Σύνολα",B12,""))</f>
        <v>Crude Oil</v>
      </c>
      <c r="B13" s="94" t="str">
        <f>IF(OR(Sheet4!D13="?",ISNUMBER(Sheet4!D13)),MID(Sheet4!B13,4,20),IF(Sheet4!B13="________________","Σύνολα",IF(MID(Sheet4!B12,4,20)="Ballast","Σύνολα","")))</f>
        <v>Σύνολα</v>
      </c>
      <c r="C13">
        <f>IF(LEFT(A13,3)="TK-",VLOOKUP(A13,Sheet3!A:B,2,FALSE),IF(B13="Σύνολα",SUMIF(B$1:B$200,Sheet6!K12,C$1:C$200),""))</f>
        <v>549871</v>
      </c>
      <c r="D13" t="str">
        <f>IF(LEFT(A13,3)="TK-",VLOOKUP(A13,Sheet3!A:C,3,FALSE),"")</f>
        <v/>
      </c>
      <c r="E13">
        <f>IF(ISNUMBER(Sheet4!D13),ROUND(Sheet4!D13,1),IF(B13="Σύνολα",SUMIF(B$1:B$200,Sheet6!K12,E$1:E$200),""))</f>
        <v>424425.39999999997</v>
      </c>
      <c r="F13" s="31" t="str">
        <f>IF(ISNUMBER(Sheet4!E13),Sheet4!E13,"")</f>
        <v/>
      </c>
      <c r="G13">
        <f>IF(ISNUMBER(Sheet4!G13),ROUND(Sheet4!G13,1),IF(B13="Σύνολα",SUMIF(B$1:B$200,Sheet6!K12,G$1:G$200),""))</f>
        <v>423312.5</v>
      </c>
      <c r="H13">
        <f>IF(ISNUMBER(Sheet4!F13),ROUND(Sheet4!F13,1),IF(B13="Σύνολα",SUMIF(B$1:B$200,Sheet6!K12,H$1:H$200),""))</f>
        <v>121473.60000000001</v>
      </c>
      <c r="I13">
        <f>IF(ISNUMBER(Sheet4!J13),ROUND(Sheet4!J13,1),IF(B13="Σύνολα",SUMIF(B$1:B$200,Sheet6!K12,I$1:I$200),""))</f>
        <v>-5466</v>
      </c>
      <c r="J13">
        <f>IF(LEFT(A13,3)="TK-",VLOOKUP(A13,Sheet3!A:D,4,FALSE),IF(B13="Σύνολα",SUMIF(B$1:B$200,Sheet6!K12,J$1:J$200),""))</f>
        <v>73298</v>
      </c>
      <c r="K13">
        <f>IF(B13="Σύνολα",SUMIF(B$1:B$200,Sheet6!K12,K$1:K$200),IF(ISNUMBER(E13),IF(E13&gt;J13,ROUND((E13-J13),1),""),""))</f>
        <v>351127.4</v>
      </c>
      <c r="L13" s="6" t="str">
        <f>IF(ISNUMBER(Sheet4!J13),IF(AND(ISNUMBER(H13),H13&gt;0,I13&gt;0),ROUNDDOWN(H13/I13,0),""),"")</f>
        <v/>
      </c>
      <c r="M13" s="6" t="str">
        <f>IF(AND(ISNUMBER(Sheet4!J13),ISNUMBER(K13)),IF(I13&lt;0,ROUNDDOWN(K13/I13,0),""),"")</f>
        <v/>
      </c>
      <c r="N13" s="29" t="str">
        <f>IF(ISNUMBER(Sheet4!H13),Sheet4!H13/1000,"")</f>
        <v/>
      </c>
    </row>
    <row r="14" spans="1:14" ht="12.75" customHeight="1" x14ac:dyDescent="0.2">
      <c r="A14" t="str">
        <f>IF(OR(Sheet4!C14="?",ISNUMBER(Sheet4!C14)),Sheet4!A14,IF(B14="Σύνολα",B13,""))</f>
        <v/>
      </c>
      <c r="B14" s="94" t="str">
        <f>IF(OR(Sheet4!D14="?",ISNUMBER(Sheet4!D14)),MID(Sheet4!B14,4,20),IF(Sheet4!B14="________________","Σύνολα",IF(MID(Sheet4!B13,4,20)="Ballast","Σύνολα","")))</f>
        <v/>
      </c>
      <c r="C14" t="str">
        <f>IF(LEFT(A14,3)="TK-",VLOOKUP(A14,Sheet3!A:B,2,FALSE),IF(B14="Σύνολα",SUMIF(B$1:B$200,Sheet6!K13,C$1:C$200),""))</f>
        <v/>
      </c>
      <c r="D14" t="str">
        <f>IF(LEFT(A14,3)="TK-",VLOOKUP(A14,Sheet3!A:C,3,FALSE),"")</f>
        <v/>
      </c>
      <c r="E14" t="str">
        <f>IF(ISNUMBER(Sheet4!D14),ROUND(Sheet4!D14,1),IF(B14="Σύνολα",SUMIF(B$1:B$200,Sheet6!K13,E$1:E$200),""))</f>
        <v/>
      </c>
      <c r="F14" s="31" t="str">
        <f>IF(ISNUMBER(Sheet4!E14),Sheet4!E14,"")</f>
        <v/>
      </c>
      <c r="G14" t="str">
        <f>IF(ISNUMBER(Sheet4!G14),ROUND(Sheet4!G14,1),IF(B14="Σύνολα",SUMIF(B$1:B$200,Sheet6!K13,G$1:G$200),""))</f>
        <v/>
      </c>
      <c r="H14" t="str">
        <f>IF(ISNUMBER(Sheet4!F14),ROUND(Sheet4!F14,1),IF(B14="Σύνολα",SUMIF(B$1:B$200,Sheet6!K13,H$1:H$200),""))</f>
        <v/>
      </c>
      <c r="I14" t="str">
        <f>IF(ISNUMBER(Sheet4!J14),ROUND(Sheet4!J14,1),IF(B14="Σύνολα",SUMIF(B$1:B$200,Sheet6!K13,I$1:I$200),""))</f>
        <v/>
      </c>
      <c r="J14" t="str">
        <f>IF(LEFT(A14,3)="TK-",VLOOKUP(A14,Sheet3!A:D,4,FALSE),IF(B14="Σύνολα",SUMIF(B$1:B$200,Sheet6!K13,J$1:J$200),""))</f>
        <v/>
      </c>
      <c r="K14" t="str">
        <f>IF(B14="Σύνολα",SUMIF(B$1:B$200,Sheet6!K13,K$1:K$200),IF(ISNUMBER(E14),IF(E14&gt;J14,ROUND((E14-J14),1),""),""))</f>
        <v/>
      </c>
      <c r="L14" s="6" t="str">
        <f>IF(ISNUMBER(Sheet4!J14),IF(AND(ISNUMBER(H14),H14&gt;0,I14&gt;0),ROUNDDOWN(H14/I14,0),""),"")</f>
        <v/>
      </c>
      <c r="M14" s="6" t="str">
        <f>IF(AND(ISNUMBER(Sheet4!J14),ISNUMBER(K14)),IF(I14&lt;0,ROUNDDOWN(K14/I14,0),""),"")</f>
        <v/>
      </c>
      <c r="N14" s="29" t="str">
        <f>IF(ISNUMBER(Sheet4!H14),Sheet4!H14/1000,"")</f>
        <v/>
      </c>
    </row>
    <row r="15" spans="1:14" ht="12.75" customHeight="1" x14ac:dyDescent="0.2">
      <c r="A15" t="str">
        <f>IF(OR(Sheet4!C15="?",ISNUMBER(Sheet4!C15)),Sheet4!A15,IF(B15="Σύνολα",B14,""))</f>
        <v/>
      </c>
      <c r="B15" s="94" t="str">
        <f>IF(OR(Sheet4!D15="?",ISNUMBER(Sheet4!D15)),MID(Sheet4!B15,4,20),IF(Sheet4!B15="________________","Σύνολα",IF(MID(Sheet4!B14,4,20)="Ballast","Σύνολα","")))</f>
        <v/>
      </c>
      <c r="C15" t="str">
        <f>IF(LEFT(A15,3)="TK-",VLOOKUP(A15,Sheet3!A:B,2,FALSE),IF(B15="Σύνολα",SUMIF(B$1:B$200,Sheet6!K14,C$1:C$200),""))</f>
        <v/>
      </c>
      <c r="D15" t="str">
        <f>IF(LEFT(A15,3)="TK-",VLOOKUP(A15,Sheet3!A:C,3,FALSE),"")</f>
        <v/>
      </c>
      <c r="E15" t="str">
        <f>IF(ISNUMBER(Sheet4!D15),ROUND(Sheet4!D15,1),IF(B15="Σύνολα",SUMIF(B$1:B$200,Sheet6!K14,E$1:E$200),""))</f>
        <v/>
      </c>
      <c r="F15" s="31" t="str">
        <f>IF(ISNUMBER(Sheet4!E15),Sheet4!E15,"")</f>
        <v/>
      </c>
      <c r="G15" t="str">
        <f>IF(ISNUMBER(Sheet4!G15),ROUND(Sheet4!G15,1),IF(B15="Σύνολα",SUMIF(B$1:B$200,Sheet6!K14,G$1:G$200),""))</f>
        <v/>
      </c>
      <c r="H15" t="str">
        <f>IF(ISNUMBER(Sheet4!F15),ROUND(Sheet4!F15,1),IF(B15="Σύνολα",SUMIF(B$1:B$200,Sheet6!K14,H$1:H$200),""))</f>
        <v/>
      </c>
      <c r="I15" t="str">
        <f>IF(ISNUMBER(Sheet4!J15),ROUND(Sheet4!J15,1),IF(B15="Σύνολα",SUMIF(B$1:B$200,Sheet6!K14,I$1:I$200),""))</f>
        <v/>
      </c>
      <c r="J15" t="str">
        <f>IF(LEFT(A15,3)="TK-",VLOOKUP(A15,Sheet3!A:D,4,FALSE),IF(B15="Σύνολα",SUMIF(B$1:B$200,Sheet6!K14,J$1:J$200),""))</f>
        <v/>
      </c>
      <c r="K15" t="str">
        <f>IF(B15="Σύνολα",SUMIF(B$1:B$200,Sheet6!K14,K$1:K$200),IF(ISNUMBER(E15),IF(E15&gt;J15,ROUND((E15-J15),1),""),""))</f>
        <v/>
      </c>
      <c r="L15" s="6" t="str">
        <f>IF(ISNUMBER(Sheet4!J15),IF(AND(ISNUMBER(H15),H15&gt;0,I15&gt;0),ROUNDDOWN(H15/I15,0),""),"")</f>
        <v/>
      </c>
      <c r="M15" s="6" t="str">
        <f>IF(AND(ISNUMBER(Sheet4!J15),ISNUMBER(K15)),IF(I15&lt;0,ROUNDDOWN(K15/I15,0),""),"")</f>
        <v/>
      </c>
      <c r="N15" s="29" t="str">
        <f>IF(ISNUMBER(Sheet4!H15),Sheet4!H15/1000,"")</f>
        <v/>
      </c>
    </row>
    <row r="16" spans="1:14" ht="12.75" customHeight="1" x14ac:dyDescent="0.2">
      <c r="A16" t="str">
        <f>IF(OR(Sheet4!C16="?",ISNUMBER(Sheet4!C16)),Sheet4!A16,IF(B16="Σύνολα",B15,""))</f>
        <v>TK-816</v>
      </c>
      <c r="B16" s="94" t="str">
        <f>IF(OR(Sheet4!D16="?",ISNUMBER(Sheet4!D16)),MID(Sheet4!B16,4,20),IF(Sheet4!B16="________________","Σύνολα",IF(MID(Sheet4!B15,4,20)="Ballast","Σύνολα","")))</f>
        <v>Propane</v>
      </c>
      <c r="C16">
        <f>IF(LEFT(A16,3)="TK-",VLOOKUP(A16,Sheet3!A:B,2,FALSE),IF(B16="Σύνολα",SUMIF(B$1:B$200,Sheet6!K15,C$1:C$200),""))</f>
        <v>410</v>
      </c>
      <c r="D16">
        <f>IF(LEFT(A16,3)="TK-",VLOOKUP(A16,Sheet3!A:C,3,FALSE),"")</f>
        <v>0</v>
      </c>
      <c r="E16">
        <f>IF(ISNUMBER(Sheet4!D16),ROUND(Sheet4!D16,1),IF(B16="Σύνολα",SUMIF(B$1:B$200,Sheet6!K15,E$1:E$200),""))</f>
        <v>122.2</v>
      </c>
      <c r="F16" s="31">
        <f>IF(ISNUMBER(Sheet4!E16),Sheet4!E16,"")</f>
        <v>17.8</v>
      </c>
      <c r="G16">
        <f>IF(ISNUMBER(Sheet4!G16),ROUND(Sheet4!G16,1),IF(B16="Σύνολα",SUMIF(B$1:B$200,Sheet6!K15,G$1:G$200),""))</f>
        <v>129.69999999999999</v>
      </c>
      <c r="H16">
        <f>IF(ISNUMBER(Sheet4!F16),ROUND(Sheet4!F16,1),IF(B16="Σύνολα",SUMIF(B$1:B$200,Sheet6!K15,H$1:H$200),""))</f>
        <v>287.8</v>
      </c>
      <c r="I16">
        <f>IF(ISNUMBER(Sheet4!J16),ROUND(Sheet4!J16,1),IF(B16="Σύνολα",SUMIF(B$1:B$200,Sheet6!K15,I$1:I$200),""))</f>
        <v>-4.2</v>
      </c>
      <c r="J16">
        <f>IF(LEFT(A16,3)="TK-",VLOOKUP(A16,Sheet3!A:D,4,FALSE),IF(B16="Σύνολα",SUMIF(B$1:B$200,Sheet6!K15,J$1:J$200),""))</f>
        <v>60</v>
      </c>
      <c r="K16">
        <f>IF(B16="Σύνολα",SUMIF(B$1:B$200,Sheet6!K15,K$1:K$200),IF(ISNUMBER(E16),IF(E16&gt;J16,ROUND((E16-J16),1),""),""))</f>
        <v>62.2</v>
      </c>
      <c r="L16" s="6" t="str">
        <f>IF(ISNUMBER(Sheet4!J16),IF(AND(ISNUMBER(H16),H16&gt;0,I16&gt;0),ROUNDDOWN(H16/I16,0),""),"")</f>
        <v/>
      </c>
      <c r="M16" s="6">
        <f>IF(AND(ISNUMBER(Sheet4!J16),ISNUMBER(K16)),IF(I16&lt;0,ROUNDDOWN(K16/I16,0),""),"")</f>
        <v>-14</v>
      </c>
      <c r="N16" s="29">
        <f>IF(ISNUMBER(Sheet4!H16),Sheet4!H16/1000,"")</f>
        <v>0.503</v>
      </c>
    </row>
    <row r="17" spans="1:14" ht="12.75" customHeight="1" x14ac:dyDescent="0.2">
      <c r="A17" t="str">
        <f>IF(OR(Sheet4!C17="?",ISNUMBER(Sheet4!C17)),Sheet4!A17,IF(B17="Σύνολα",B16,""))</f>
        <v>Propane</v>
      </c>
      <c r="B17" s="94" t="str">
        <f>IF(OR(Sheet4!D17="?",ISNUMBER(Sheet4!D17)),MID(Sheet4!B17,4,20),IF(Sheet4!B17="________________","Σύνολα",IF(MID(Sheet4!B16,4,20)="Ballast","Σύνολα","")))</f>
        <v>Σύνολα</v>
      </c>
      <c r="C17">
        <f>IF(LEFT(A17,3)="TK-",VLOOKUP(A17,Sheet3!A:B,2,FALSE),IF(B17="Σύνολα",SUMIF(B$1:B$200,Sheet6!K16,C$1:C$200),""))</f>
        <v>410</v>
      </c>
      <c r="D17" t="str">
        <f>IF(LEFT(A17,3)="TK-",VLOOKUP(A17,Sheet3!A:C,3,FALSE),"")</f>
        <v/>
      </c>
      <c r="E17">
        <f>IF(ISNUMBER(Sheet4!D17),ROUND(Sheet4!D17,1),IF(B17="Σύνολα",SUMIF(B$1:B$200,Sheet6!K16,E$1:E$200),""))</f>
        <v>122.2</v>
      </c>
      <c r="F17" s="31" t="str">
        <f>IF(ISNUMBER(Sheet4!E17),Sheet4!E17,"")</f>
        <v/>
      </c>
      <c r="G17">
        <f>IF(ISNUMBER(Sheet4!G17),ROUND(Sheet4!G17,1),IF(B17="Σύνολα",SUMIF(B$1:B$200,Sheet6!K16,G$1:G$200),""))</f>
        <v>129.69999999999999</v>
      </c>
      <c r="H17">
        <f>IF(ISNUMBER(Sheet4!F17),ROUND(Sheet4!F17,1),IF(B17="Σύνολα",SUMIF(B$1:B$200,Sheet6!K16,H$1:H$200),""))</f>
        <v>287.8</v>
      </c>
      <c r="I17">
        <f>IF(ISNUMBER(Sheet4!J17),ROUND(Sheet4!J17,1),IF(B17="Σύνολα",SUMIF(B$1:B$200,Sheet6!K16,I$1:I$200),""))</f>
        <v>-4.2</v>
      </c>
      <c r="J17">
        <f>IF(LEFT(A17,3)="TK-",VLOOKUP(A17,Sheet3!A:D,4,FALSE),IF(B17="Σύνολα",SUMIF(B$1:B$200,Sheet6!K16,J$1:J$200),""))</f>
        <v>60</v>
      </c>
      <c r="K17">
        <f>IF(B17="Σύνολα",SUMIF(B$1:B$200,Sheet6!K16,K$1:K$200),IF(ISNUMBER(E17),IF(E17&gt;J17,ROUND((E17-J17),1),""),""))</f>
        <v>62.2</v>
      </c>
      <c r="L17" s="6" t="str">
        <f>IF(ISNUMBER(Sheet4!J17),IF(AND(ISNUMBER(H17),H17&gt;0,I17&gt;0),ROUNDDOWN(H17/I17,0),""),"")</f>
        <v/>
      </c>
      <c r="M17" s="6" t="str">
        <f>IF(AND(ISNUMBER(Sheet4!J17),ISNUMBER(K17)),IF(I17&lt;0,ROUNDDOWN(K17/I17,0),""),"")</f>
        <v/>
      </c>
      <c r="N17" s="29" t="str">
        <f>IF(ISNUMBER(Sheet4!H17),Sheet4!H17/1000,"")</f>
        <v/>
      </c>
    </row>
    <row r="18" spans="1:14" ht="12.75" customHeight="1" x14ac:dyDescent="0.2">
      <c r="A18" t="str">
        <f>IF(OR(Sheet4!C18="?",ISNUMBER(Sheet4!C18)),Sheet4!A18,IF(B18="Σύνολα",B17,""))</f>
        <v/>
      </c>
      <c r="B18" s="94" t="str">
        <f>IF(OR(Sheet4!D18="?",ISNUMBER(Sheet4!D18)),MID(Sheet4!B18,4,20),IF(Sheet4!B18="________________","Σύνολα",IF(MID(Sheet4!B17,4,20)="Ballast","Σύνολα","")))</f>
        <v/>
      </c>
      <c r="C18" t="str">
        <f>IF(LEFT(A18,3)="TK-",VLOOKUP(A18,Sheet3!A:B,2,FALSE),IF(B18="Σύνολα",SUMIF(B$1:B$200,Sheet6!K17,C$1:C$200),""))</f>
        <v/>
      </c>
      <c r="D18" t="str">
        <f>IF(LEFT(A18,3)="TK-",VLOOKUP(A18,Sheet3!A:C,3,FALSE),"")</f>
        <v/>
      </c>
      <c r="E18" t="str">
        <f>IF(ISNUMBER(Sheet4!D18),ROUND(Sheet4!D18,1),IF(B18="Σύνολα",SUMIF(B$1:B$200,Sheet6!K17,E$1:E$200),""))</f>
        <v/>
      </c>
      <c r="F18" s="31" t="str">
        <f>IF(ISNUMBER(Sheet4!E18),Sheet4!E18,"")</f>
        <v/>
      </c>
      <c r="G18" t="str">
        <f>IF(ISNUMBER(Sheet4!G18),ROUND(Sheet4!G18,1),IF(B18="Σύνολα",SUMIF(B$1:B$200,Sheet6!K17,G$1:G$200),""))</f>
        <v/>
      </c>
      <c r="H18" t="str">
        <f>IF(ISNUMBER(Sheet4!F18),ROUND(Sheet4!F18,1),IF(B18="Σύνολα",SUMIF(B$1:B$200,Sheet6!K17,H$1:H$200),""))</f>
        <v/>
      </c>
      <c r="I18" t="str">
        <f>IF(ISNUMBER(Sheet4!J18),ROUND(Sheet4!J18,1),IF(B18="Σύνολα",SUMIF(B$1:B$200,Sheet6!K17,I$1:I$200),""))</f>
        <v/>
      </c>
      <c r="J18" t="str">
        <f>IF(LEFT(A18,3)="TK-",VLOOKUP(A18,Sheet3!A:D,4,FALSE),IF(B18="Σύνολα",SUMIF(B$1:B$200,Sheet6!K17,J$1:J$200),""))</f>
        <v/>
      </c>
      <c r="K18" t="str">
        <f>IF(B18="Σύνολα",SUMIF(B$1:B$200,Sheet6!K17,K$1:K$200),IF(ISNUMBER(E18),IF(E18&gt;J18,ROUND((E18-J18),1),""),""))</f>
        <v/>
      </c>
      <c r="L18" s="6" t="str">
        <f>IF(ISNUMBER(Sheet4!J18),IF(AND(ISNUMBER(H18),H18&gt;0,I18&gt;0),ROUNDDOWN(H18/I18,0),""),"")</f>
        <v/>
      </c>
      <c r="M18" s="6" t="str">
        <f>IF(AND(ISNUMBER(Sheet4!J18),ISNUMBER(K18)),IF(I18&lt;0,ROUNDDOWN(K18/I18,0),""),"")</f>
        <v/>
      </c>
      <c r="N18" s="29" t="str">
        <f>IF(ISNUMBER(Sheet4!H18),Sheet4!H18/1000,"")</f>
        <v/>
      </c>
    </row>
    <row r="19" spans="1:14" ht="12.75" customHeight="1" x14ac:dyDescent="0.2">
      <c r="A19" t="str">
        <f>IF(OR(Sheet4!C19="?",ISNUMBER(Sheet4!C19)),Sheet4!A19,IF(B19="Σύνολα",B18,""))</f>
        <v/>
      </c>
      <c r="B19" s="94" t="str">
        <f>IF(OR(Sheet4!D19="?",ISNUMBER(Sheet4!D19)),MID(Sheet4!B19,4,20),IF(Sheet4!B19="________________","Σύνολα",IF(MID(Sheet4!B18,4,20)="Ballast","Σύνολα","")))</f>
        <v/>
      </c>
      <c r="C19" t="str">
        <f>IF(LEFT(A19,3)="TK-",VLOOKUP(A19,Sheet3!A:B,2,FALSE),IF(B19="Σύνολα",SUMIF(B$1:B$200,Sheet6!K18,C$1:C$200),""))</f>
        <v/>
      </c>
      <c r="D19" t="str">
        <f>IF(LEFT(A19,3)="TK-",VLOOKUP(A19,Sheet3!A:C,3,FALSE),"")</f>
        <v/>
      </c>
      <c r="E19" t="str">
        <f>IF(ISNUMBER(Sheet4!D19),ROUND(Sheet4!D19,1),IF(B19="Σύνολα",SUMIF(B$1:B$200,Sheet6!K18,E$1:E$200),""))</f>
        <v/>
      </c>
      <c r="F19" s="31" t="str">
        <f>IF(ISNUMBER(Sheet4!E19),Sheet4!E19,"")</f>
        <v/>
      </c>
      <c r="G19" t="str">
        <f>IF(ISNUMBER(Sheet4!G19),ROUND(Sheet4!G19,1),IF(B19="Σύνολα",SUMIF(B$1:B$200,Sheet6!K18,G$1:G$200),""))</f>
        <v/>
      </c>
      <c r="H19" t="str">
        <f>IF(ISNUMBER(Sheet4!F19),ROUND(Sheet4!F19,1),IF(B19="Σύνολα",SUMIF(B$1:B$200,Sheet6!K18,H$1:H$200),""))</f>
        <v/>
      </c>
      <c r="I19" t="str">
        <f>IF(ISNUMBER(Sheet4!J19),ROUND(Sheet4!J19,1),IF(B19="Σύνολα",SUMIF(B$1:B$200,Sheet6!K18,I$1:I$200),""))</f>
        <v/>
      </c>
      <c r="J19" t="str">
        <f>IF(LEFT(A19,3)="TK-",VLOOKUP(A19,Sheet3!A:D,4,FALSE),IF(B19="Σύνολα",SUMIF(B$1:B$200,Sheet6!K18,J$1:J$200),""))</f>
        <v/>
      </c>
      <c r="K19" t="str">
        <f>IF(B19="Σύνολα",SUMIF(B$1:B$200,Sheet6!K18,K$1:K$200),IF(ISNUMBER(E19),IF(E19&gt;J19,ROUND((E19-J19),1),""),""))</f>
        <v/>
      </c>
      <c r="L19" s="6" t="str">
        <f>IF(ISNUMBER(Sheet4!J19),IF(AND(ISNUMBER(H19),H19&gt;0,I19&gt;0),ROUNDDOWN(H19/I19,0),""),"")</f>
        <v/>
      </c>
      <c r="M19" s="6" t="str">
        <f>IF(AND(ISNUMBER(Sheet4!J19),ISNUMBER(K19)),IF(I19&lt;0,ROUNDDOWN(K19/I19,0),""),"")</f>
        <v/>
      </c>
      <c r="N19" s="29" t="str">
        <f>IF(ISNUMBER(Sheet4!H19),Sheet4!H19/1000,"")</f>
        <v/>
      </c>
    </row>
    <row r="20" spans="1:14" ht="12.75" customHeight="1" x14ac:dyDescent="0.2">
      <c r="A20" t="str">
        <f>IF(OR(Sheet4!C20="?",ISNUMBER(Sheet4!C20)),Sheet4!A20,IF(B20="Σύνολα",B19,""))</f>
        <v>TK-811</v>
      </c>
      <c r="B20" s="94" t="str">
        <f>IF(OR(Sheet4!D20="?",ISNUMBER(Sheet4!D20)),MID(Sheet4!B20,4,20),IF(Sheet4!B20="________________","Σύνολα",IF(MID(Sheet4!B19,4,20)="Ballast","Σύνολα","")))</f>
        <v>Butane</v>
      </c>
      <c r="C20">
        <f>IF(LEFT(A20,3)="TK-",VLOOKUP(A20,Sheet3!A:B,2,FALSE),IF(B20="Σύνολα",SUMIF(B$1:B$200,Sheet6!K19,C$1:C$200),""))</f>
        <v>440</v>
      </c>
      <c r="D20">
        <f>IF(LEFT(A20,3)="TK-",VLOOKUP(A20,Sheet3!A:C,3,FALSE),"")</f>
        <v>0</v>
      </c>
      <c r="E20">
        <f>IF(ISNUMBER(Sheet4!D20),ROUND(Sheet4!D20,1),IF(B20="Σύνολα",SUMIF(B$1:B$200,Sheet6!K19,E$1:E$200),""))</f>
        <v>29.4</v>
      </c>
      <c r="F20" s="31">
        <f>IF(ISNUMBER(Sheet4!E20),Sheet4!E20,"")</f>
        <v>11.4</v>
      </c>
      <c r="G20">
        <f>IF(ISNUMBER(Sheet4!G20),ROUND(Sheet4!G20,1),IF(B20="Σύνολα",SUMIF(B$1:B$200,Sheet6!K19,G$1:G$200),""))</f>
        <v>33</v>
      </c>
      <c r="H20">
        <f>IF(ISNUMBER(Sheet4!F20),ROUND(Sheet4!F20,1),IF(B20="Σύνολα",SUMIF(B$1:B$200,Sheet6!K19,H$1:H$200),""))</f>
        <v>410.6</v>
      </c>
      <c r="I20">
        <f>IF(ISNUMBER(Sheet4!J20),ROUND(Sheet4!J20,1),IF(B20="Σύνολα",SUMIF(B$1:B$200,Sheet6!K19,I$1:I$200),""))</f>
        <v>-0.1</v>
      </c>
      <c r="J20">
        <f>IF(LEFT(A20,3)="TK-",VLOOKUP(A20,Sheet3!A:D,4,FALSE),IF(B20="Σύνολα",SUMIF(B$1:B$200,Sheet6!K19,J$1:J$200),""))</f>
        <v>80</v>
      </c>
      <c r="K20" t="str">
        <f>IF(B20="Σύνολα",SUMIF(B$1:B$200,Sheet6!K19,K$1:K$200),IF(ISNUMBER(E20),IF(E20&gt;J20,ROUND((E20-J20),1),""),""))</f>
        <v/>
      </c>
      <c r="L20" s="6" t="str">
        <f>IF(ISNUMBER(Sheet4!J20),IF(AND(ISNUMBER(H20),H20&gt;0,I20&gt;0),ROUNDDOWN(H20/I20,0),""),"")</f>
        <v/>
      </c>
      <c r="M20" s="6" t="str">
        <f>IF(AND(ISNUMBER(Sheet4!J20),ISNUMBER(K20)),IF(I20&lt;0,ROUNDDOWN(K20/I20,0),""),"")</f>
        <v/>
      </c>
      <c r="N20" s="29">
        <f>IF(ISNUMBER(Sheet4!H20),Sheet4!H20/1000,"")</f>
        <v>0.57210000000000005</v>
      </c>
    </row>
    <row r="21" spans="1:14" ht="12.75" customHeight="1" x14ac:dyDescent="0.2">
      <c r="A21" t="str">
        <f>IF(OR(Sheet4!C21="?",ISNUMBER(Sheet4!C21)),Sheet4!A21,IF(B21="Σύνολα",B20,""))</f>
        <v>Butane</v>
      </c>
      <c r="B21" s="94" t="str">
        <f>IF(OR(Sheet4!D21="?",ISNUMBER(Sheet4!D21)),MID(Sheet4!B21,4,20),IF(Sheet4!B21="________________","Σύνολα",IF(MID(Sheet4!B20,4,20)="Ballast","Σύνολα","")))</f>
        <v>Σύνολα</v>
      </c>
      <c r="C21">
        <f>IF(LEFT(A21,3)="TK-",VLOOKUP(A21,Sheet3!A:B,2,FALSE),IF(B21="Σύνολα",SUMIF(B$1:B$200,Sheet6!K20,C$1:C$200),""))</f>
        <v>440</v>
      </c>
      <c r="D21" t="str">
        <f>IF(LEFT(A21,3)="TK-",VLOOKUP(A21,Sheet3!A:C,3,FALSE),"")</f>
        <v/>
      </c>
      <c r="E21">
        <f>IF(ISNUMBER(Sheet4!D21),ROUND(Sheet4!D21,1),IF(B21="Σύνολα",SUMIF(B$1:B$200,Sheet6!K20,E$1:E$200),""))</f>
        <v>29.4</v>
      </c>
      <c r="F21" s="31" t="str">
        <f>IF(ISNUMBER(Sheet4!E21),Sheet4!E21,"")</f>
        <v/>
      </c>
      <c r="G21">
        <f>IF(ISNUMBER(Sheet4!G21),ROUND(Sheet4!G21,1),IF(B21="Σύνολα",SUMIF(B$1:B$200,Sheet6!K20,G$1:G$200),""))</f>
        <v>33</v>
      </c>
      <c r="H21">
        <f>IF(ISNUMBER(Sheet4!F21),ROUND(Sheet4!F21,1),IF(B21="Σύνολα",SUMIF(B$1:B$200,Sheet6!K20,H$1:H$200),""))</f>
        <v>410.6</v>
      </c>
      <c r="I21">
        <f>IF(ISNUMBER(Sheet4!J21),ROUND(Sheet4!J21,1),IF(B21="Σύνολα",SUMIF(B$1:B$200,Sheet6!K20,I$1:I$200),""))</f>
        <v>-0.1</v>
      </c>
      <c r="J21">
        <f>IF(LEFT(A21,3)="TK-",VLOOKUP(A21,Sheet3!A:D,4,FALSE),IF(B21="Σύνολα",SUMIF(B$1:B$200,Sheet6!K20,J$1:J$200),""))</f>
        <v>80</v>
      </c>
      <c r="K21">
        <f>IF(B21="Σύνολα",SUMIF(B$1:B$200,Sheet6!K20,K$1:K$200),IF(ISNUMBER(E21),IF(E21&gt;J21,ROUND((E21-J21),1),""),""))</f>
        <v>0</v>
      </c>
      <c r="L21" s="6" t="str">
        <f>IF(ISNUMBER(Sheet4!J21),IF(AND(ISNUMBER(H21),H21&gt;0,I21&gt;0),ROUNDDOWN(H21/I21,0),""),"")</f>
        <v/>
      </c>
      <c r="M21" s="6" t="str">
        <f>IF(AND(ISNUMBER(Sheet4!J21),ISNUMBER(K21)),IF(I21&lt;0,ROUNDDOWN(K21/I21,0),""),"")</f>
        <v/>
      </c>
      <c r="N21" s="29" t="str">
        <f>IF(ISNUMBER(Sheet4!H21),Sheet4!H21/1000,"")</f>
        <v/>
      </c>
    </row>
    <row r="22" spans="1:14" ht="12.75" customHeight="1" x14ac:dyDescent="0.2">
      <c r="A22" t="str">
        <f>IF(OR(Sheet4!C22="?",ISNUMBER(Sheet4!C22)),Sheet4!A22,IF(B22="Σύνολα",B21,""))</f>
        <v/>
      </c>
      <c r="B22" s="94" t="str">
        <f>IF(OR(Sheet4!D22="?",ISNUMBER(Sheet4!D22)),MID(Sheet4!B22,4,20),IF(Sheet4!B22="________________","Σύνολα",IF(MID(Sheet4!B21,4,20)="Ballast","Σύνολα","")))</f>
        <v/>
      </c>
      <c r="C22" t="str">
        <f>IF(LEFT(A22,3)="TK-",VLOOKUP(A22,Sheet3!A:B,2,FALSE),IF(B22="Σύνολα",SUMIF(B$1:B$200,Sheet6!K21,C$1:C$200),""))</f>
        <v/>
      </c>
      <c r="D22" t="str">
        <f>IF(LEFT(A22,3)="TK-",VLOOKUP(A22,Sheet3!A:C,3,FALSE),"")</f>
        <v/>
      </c>
      <c r="E22" t="str">
        <f>IF(ISNUMBER(Sheet4!D22),ROUND(Sheet4!D22,1),IF(B22="Σύνολα",SUMIF(B$1:B$200,Sheet6!K21,E$1:E$200),""))</f>
        <v/>
      </c>
      <c r="F22" s="31" t="str">
        <f>IF(ISNUMBER(Sheet4!E22),Sheet4!E22,"")</f>
        <v/>
      </c>
      <c r="G22" t="str">
        <f>IF(ISNUMBER(Sheet4!G22),ROUND(Sheet4!G22,1),IF(B22="Σύνολα",SUMIF(B$1:B$200,Sheet6!K21,G$1:G$200),""))</f>
        <v/>
      </c>
      <c r="H22" t="str">
        <f>IF(ISNUMBER(Sheet4!F22),ROUND(Sheet4!F22,1),IF(B22="Σύνολα",SUMIF(B$1:B$200,Sheet6!K21,H$1:H$200),""))</f>
        <v/>
      </c>
      <c r="I22" t="str">
        <f>IF(ISNUMBER(Sheet4!J22),ROUND(Sheet4!J22,1),IF(B22="Σύνολα",SUMIF(B$1:B$200,Sheet6!K21,I$1:I$200),""))</f>
        <v/>
      </c>
      <c r="J22" t="str">
        <f>IF(LEFT(A22,3)="TK-",VLOOKUP(A22,Sheet3!A:D,4,FALSE),IF(B22="Σύνολα",SUMIF(B$1:B$200,Sheet6!K21,J$1:J$200),""))</f>
        <v/>
      </c>
      <c r="K22" t="str">
        <f>IF(B22="Σύνολα",SUMIF(B$1:B$200,Sheet6!K21,K$1:K$200),IF(ISNUMBER(E22),IF(E22&gt;J22,ROUND((E22-J22),1),""),""))</f>
        <v/>
      </c>
      <c r="L22" s="6" t="str">
        <f>IF(ISNUMBER(Sheet4!J22),IF(AND(ISNUMBER(H22),H22&gt;0,I22&gt;0),ROUNDDOWN(H22/I22,0),""),"")</f>
        <v/>
      </c>
      <c r="M22" s="6" t="str">
        <f>IF(AND(ISNUMBER(Sheet4!J22),ISNUMBER(K22)),IF(I22&lt;0,ROUNDDOWN(K22/I22,0),""),"")</f>
        <v/>
      </c>
      <c r="N22" s="29" t="str">
        <f>IF(ISNUMBER(Sheet4!H22),Sheet4!H22/1000,"")</f>
        <v/>
      </c>
    </row>
    <row r="23" spans="1:14" ht="12.75" customHeight="1" x14ac:dyDescent="0.2">
      <c r="A23" t="str">
        <f>IF(OR(Sheet4!C23="?",ISNUMBER(Sheet4!C23)),Sheet4!A23,IF(B23="Σύνολα",B22,""))</f>
        <v/>
      </c>
      <c r="B23" s="94" t="str">
        <f>IF(OR(Sheet4!D23="?",ISNUMBER(Sheet4!D23)),MID(Sheet4!B23,4,20),IF(Sheet4!B23="________________","Σύνολα",IF(MID(Sheet4!B22,4,20)="Ballast","Σύνολα","")))</f>
        <v/>
      </c>
      <c r="C23" t="str">
        <f>IF(LEFT(A23,3)="TK-",VLOOKUP(A23,Sheet3!A:B,2,FALSE),IF(B23="Σύνολα",SUMIF(B$1:B$200,Sheet6!K22,C$1:C$200),""))</f>
        <v/>
      </c>
      <c r="D23" t="str">
        <f>IF(LEFT(A23,3)="TK-",VLOOKUP(A23,Sheet3!A:C,3,FALSE),"")</f>
        <v/>
      </c>
      <c r="E23" t="str">
        <f>IF(ISNUMBER(Sheet4!D23),ROUND(Sheet4!D23,1),IF(B23="Σύνολα",SUMIF(B$1:B$200,Sheet6!K22,E$1:E$200),""))</f>
        <v/>
      </c>
      <c r="F23" s="31" t="str">
        <f>IF(ISNUMBER(Sheet4!E23),Sheet4!E23,"")</f>
        <v/>
      </c>
      <c r="G23" t="str">
        <f>IF(ISNUMBER(Sheet4!G23),ROUND(Sheet4!G23,1),IF(B23="Σύνολα",SUMIF(B$1:B$200,Sheet6!K22,G$1:G$200),""))</f>
        <v/>
      </c>
      <c r="H23" t="str">
        <f>IF(ISNUMBER(Sheet4!F23),ROUND(Sheet4!F23,1),IF(B23="Σύνολα",SUMIF(B$1:B$200,Sheet6!K22,H$1:H$200),""))</f>
        <v/>
      </c>
      <c r="I23" t="str">
        <f>IF(ISNUMBER(Sheet4!J23),ROUND(Sheet4!J23,1),IF(B23="Σύνολα",SUMIF(B$1:B$200,Sheet6!K22,I$1:I$200),""))</f>
        <v/>
      </c>
      <c r="J23" t="str">
        <f>IF(LEFT(A23,3)="TK-",VLOOKUP(A23,Sheet3!A:D,4,FALSE),IF(B23="Σύνολα",SUMIF(B$1:B$200,Sheet6!K22,J$1:J$200),""))</f>
        <v/>
      </c>
      <c r="K23" t="str">
        <f>IF(B23="Σύνολα",SUMIF(B$1:B$200,Sheet6!K22,K$1:K$200),IF(ISNUMBER(E23),IF(E23&gt;J23,ROUND((E23-J23),1),""),""))</f>
        <v/>
      </c>
      <c r="L23" s="6" t="str">
        <f>IF(ISNUMBER(Sheet4!J23),IF(AND(ISNUMBER(H23),H23&gt;0,I23&gt;0),ROUNDDOWN(H23/I23,0),""),"")</f>
        <v/>
      </c>
      <c r="M23" s="6" t="str">
        <f>IF(AND(ISNUMBER(Sheet4!J23),ISNUMBER(K23)),IF(I23&lt;0,ROUNDDOWN(K23/I23,0),""),"")</f>
        <v/>
      </c>
      <c r="N23" s="29" t="str">
        <f>IF(ISNUMBER(Sheet4!H23),Sheet4!H23/1000,"")</f>
        <v/>
      </c>
    </row>
    <row r="24" spans="1:14" ht="12.75" customHeight="1" x14ac:dyDescent="0.2">
      <c r="A24" t="str">
        <f>IF(OR(Sheet4!C24="?",ISNUMBER(Sheet4!C24)),Sheet4!A24,IF(B24="Σύνολα",B23,""))</f>
        <v>TK-817</v>
      </c>
      <c r="B24" s="94" t="str">
        <f>IF(OR(Sheet4!D24="?",ISNUMBER(Sheet4!D24)),MID(Sheet4!B24,4,20),IF(Sheet4!B24="________________","Σύνολα",IF(MID(Sheet4!B23,4,20)="Ballast","Σύνολα","")))</f>
        <v>LPG</v>
      </c>
      <c r="C24">
        <f>IF(LEFT(A24,3)="TK-",VLOOKUP(A24,Sheet3!A:B,2,FALSE),IF(B24="Σύνολα",SUMIF(B$1:B$200,Sheet6!K23,C$1:C$200),""))</f>
        <v>2700</v>
      </c>
      <c r="D24">
        <f>IF(LEFT(A24,3)="TK-",VLOOKUP(A24,Sheet3!A:C,3,FALSE),"")</f>
        <v>0</v>
      </c>
      <c r="E24">
        <f>IF(ISNUMBER(Sheet4!D24),ROUND(Sheet4!D24,1),IF(B24="Σύνολα",SUMIF(B$1:B$200,Sheet6!K23,E$1:E$200),""))</f>
        <v>151.1</v>
      </c>
      <c r="F24" s="31">
        <f>IF(ISNUMBER(Sheet4!E24),Sheet4!E24,"")</f>
        <v>18.100000000000001</v>
      </c>
      <c r="G24">
        <f>IF(ISNUMBER(Sheet4!G24),ROUND(Sheet4!G24,1),IF(B24="Σύνολα",SUMIF(B$1:B$200,Sheet6!K23,G$1:G$200),""))</f>
        <v>195</v>
      </c>
      <c r="H24">
        <f>IF(ISNUMBER(Sheet4!F24),ROUND(Sheet4!F24,1),IF(B24="Σύνολα",SUMIF(B$1:B$200,Sheet6!K23,H$1:H$200),""))</f>
        <v>2548.9</v>
      </c>
      <c r="I24">
        <f>IF(ISNUMBER(Sheet4!J24),ROUND(Sheet4!J24,1),IF(B24="Σύνολα",SUMIF(B$1:B$200,Sheet6!K23,I$1:I$200),""))</f>
        <v>119.2</v>
      </c>
      <c r="J24">
        <f>IF(LEFT(A24,3)="TK-",VLOOKUP(A24,Sheet3!A:D,4,FALSE),IF(B24="Σύνολα",SUMIF(B$1:B$200,Sheet6!K23,J$1:J$200),""))</f>
        <v>30</v>
      </c>
      <c r="K24">
        <f>IF(B24="Σύνολα",SUMIF(B$1:B$200,Sheet6!K23,K$1:K$200),IF(ISNUMBER(E24),IF(E24&gt;J24,ROUND((E24-J24),1),""),""))</f>
        <v>121.1</v>
      </c>
      <c r="L24" s="6">
        <f>IF(ISNUMBER(Sheet4!J24),IF(AND(ISNUMBER(H24),H24&gt;0,I24&gt;0),ROUNDDOWN(H24/I24,0),""),"")</f>
        <v>21</v>
      </c>
      <c r="M24" s="6" t="str">
        <f>IF(AND(ISNUMBER(Sheet4!J24),ISNUMBER(K24)),IF(I24&lt;0,ROUNDDOWN(K24/I24,0),""),"")</f>
        <v/>
      </c>
      <c r="N24" s="29">
        <f>IF(ISNUMBER(Sheet4!H24),Sheet4!H24/1000,"")</f>
        <v>0.56000000000000005</v>
      </c>
    </row>
    <row r="25" spans="1:14" ht="12.75" customHeight="1" x14ac:dyDescent="0.2">
      <c r="A25" t="str">
        <f>IF(OR(Sheet4!C25="?",ISNUMBER(Sheet4!C25)),Sheet4!A25,IF(B25="Σύνολα",B24,""))</f>
        <v>TK-861A</v>
      </c>
      <c r="B25" s="94" t="str">
        <f>IF(OR(Sheet4!D25="?",ISNUMBER(Sheet4!D25)),MID(Sheet4!B25,4,20),IF(Sheet4!B25="________________","Σύνολα",IF(MID(Sheet4!B24,4,20)="Ballast","Σύνολα","")))</f>
        <v>LPG</v>
      </c>
      <c r="C25">
        <f>IF(LEFT(A25,3)="TK-",VLOOKUP(A25,Sheet3!A:B,2,FALSE),IF(B25="Σύνολα",SUMIF(B$1:B$200,Sheet6!K24,C$1:C$200),""))</f>
        <v>3340</v>
      </c>
      <c r="D25">
        <f>IF(LEFT(A25,3)="TK-",VLOOKUP(A25,Sheet3!A:C,3,FALSE),"")</f>
        <v>0</v>
      </c>
      <c r="E25">
        <f>IF(ISNUMBER(Sheet4!D25),ROUND(Sheet4!D25,1),IF(B25="Σύνολα",SUMIF(B$1:B$200,Sheet6!K24,E$1:E$200),""))</f>
        <v>1454.4</v>
      </c>
      <c r="F25" s="31">
        <f>IF(ISNUMBER(Sheet4!E25),Sheet4!E25,"")</f>
        <v>14.3</v>
      </c>
      <c r="G25">
        <f>IF(ISNUMBER(Sheet4!G25),ROUND(Sheet4!G25,1),IF(B25="Σύνολα",SUMIF(B$1:B$200,Sheet6!K24,G$1:G$200),""))</f>
        <v>1471</v>
      </c>
      <c r="H25">
        <f>IF(ISNUMBER(Sheet4!F25),ROUND(Sheet4!F25,1),IF(B25="Σύνολα",SUMIF(B$1:B$200,Sheet6!K24,H$1:H$200),""))</f>
        <v>1885.5</v>
      </c>
      <c r="I25">
        <f>IF(ISNUMBER(Sheet4!J25),ROUND(Sheet4!J25,1),IF(B25="Σύνολα",SUMIF(B$1:B$200,Sheet6!K24,I$1:I$200),""))</f>
        <v>-1043.2</v>
      </c>
      <c r="J25">
        <f>IF(LEFT(A25,3)="TK-",VLOOKUP(A25,Sheet3!A:D,4,FALSE),IF(B25="Σύνολα",SUMIF(B$1:B$200,Sheet6!K24,J$1:J$200),""))</f>
        <v>30</v>
      </c>
      <c r="K25">
        <f>IF(B25="Σύνολα",SUMIF(B$1:B$200,Sheet6!K24,K$1:K$200),IF(ISNUMBER(E25),IF(E25&gt;J25,ROUND((E25-J25),1),""),""))</f>
        <v>1424.4</v>
      </c>
      <c r="L25" s="6" t="str">
        <f>IF(ISNUMBER(Sheet4!J25),IF(AND(ISNUMBER(H25),H25&gt;0,I25&gt;0),ROUNDDOWN(H25/I25,0),""),"")</f>
        <v/>
      </c>
      <c r="M25" s="6">
        <f>IF(AND(ISNUMBER(Sheet4!J25),ISNUMBER(K25)),IF(I25&lt;0,ROUNDDOWN(K25/I25,0),""),"")</f>
        <v>-1</v>
      </c>
      <c r="N25" s="29">
        <f>IF(ISNUMBER(Sheet4!H25),Sheet4!H25/1000,"")</f>
        <v>0.55920000000000003</v>
      </c>
    </row>
    <row r="26" spans="1:14" ht="12.75" customHeight="1" x14ac:dyDescent="0.2">
      <c r="A26" t="str">
        <f>IF(OR(Sheet4!C26="?",ISNUMBER(Sheet4!C26)),Sheet4!A26,IF(B26="Σύνολα",B25,""))</f>
        <v>LPG</v>
      </c>
      <c r="B26" s="94" t="str">
        <f>IF(OR(Sheet4!D26="?",ISNUMBER(Sheet4!D26)),MID(Sheet4!B26,4,20),IF(Sheet4!B26="________________","Σύνολα",IF(MID(Sheet4!B25,4,20)="Ballast","Σύνολα","")))</f>
        <v>Σύνολα</v>
      </c>
      <c r="C26">
        <f>IF(LEFT(A26,3)="TK-",VLOOKUP(A26,Sheet3!A:B,2,FALSE),IF(B26="Σύνολα",SUMIF(B$1:B$200,Sheet6!K25,C$1:C$200),""))</f>
        <v>6040</v>
      </c>
      <c r="D26" t="str">
        <f>IF(LEFT(A26,3)="TK-",VLOOKUP(A26,Sheet3!A:C,3,FALSE),"")</f>
        <v/>
      </c>
      <c r="E26">
        <f>IF(ISNUMBER(Sheet4!D26),ROUND(Sheet4!D26,1),IF(B26="Σύνολα",SUMIF(B$1:B$200,Sheet6!K25,E$1:E$200),""))</f>
        <v>1605.5</v>
      </c>
      <c r="F26" s="31" t="str">
        <f>IF(ISNUMBER(Sheet4!E26),Sheet4!E26,"")</f>
        <v/>
      </c>
      <c r="G26">
        <f>IF(ISNUMBER(Sheet4!G26),ROUND(Sheet4!G26,1),IF(B26="Σύνολα",SUMIF(B$1:B$200,Sheet6!K25,G$1:G$200),""))</f>
        <v>1666</v>
      </c>
      <c r="H26">
        <f>IF(ISNUMBER(Sheet4!F26),ROUND(Sheet4!F26,1),IF(B26="Σύνολα",SUMIF(B$1:B$200,Sheet6!K25,H$1:H$200),""))</f>
        <v>4434.3999999999996</v>
      </c>
      <c r="I26">
        <f>IF(ISNUMBER(Sheet4!J26),ROUND(Sheet4!J26,1),IF(B26="Σύνολα",SUMIF(B$1:B$200,Sheet6!K25,I$1:I$200),""))</f>
        <v>-924</v>
      </c>
      <c r="J26">
        <f>IF(LEFT(A26,3)="TK-",VLOOKUP(A26,Sheet3!A:D,4,FALSE),IF(B26="Σύνολα",SUMIF(B$1:B$200,Sheet6!K25,J$1:J$200),""))</f>
        <v>60</v>
      </c>
      <c r="K26">
        <f>IF(B26="Σύνολα",SUMIF(B$1:B$200,Sheet6!K25,K$1:K$200),IF(ISNUMBER(E26),IF(E26&gt;J26,ROUND((E26-J26),1),""),""))</f>
        <v>1545.5</v>
      </c>
      <c r="L26" s="6" t="str">
        <f>IF(ISNUMBER(Sheet4!J26),IF(AND(ISNUMBER(H26),H26&gt;0,I26&gt;0),ROUNDDOWN(H26/I26,0),""),"")</f>
        <v/>
      </c>
      <c r="M26" s="6" t="str">
        <f>IF(AND(ISNUMBER(Sheet4!J26),ISNUMBER(K26)),IF(I26&lt;0,ROUNDDOWN(K26/I26,0),""),"")</f>
        <v/>
      </c>
      <c r="N26" s="29" t="str">
        <f>IF(ISNUMBER(Sheet4!H26),Sheet4!H26/1000,"")</f>
        <v/>
      </c>
    </row>
    <row r="27" spans="1:14" ht="12.75" customHeight="1" x14ac:dyDescent="0.2">
      <c r="A27" t="str">
        <f>IF(OR(Sheet4!C27="?",ISNUMBER(Sheet4!C27)),Sheet4!A27,IF(B27="Σύνολα",B26,""))</f>
        <v/>
      </c>
      <c r="B27" s="94" t="str">
        <f>IF(OR(Sheet4!D27="?",ISNUMBER(Sheet4!D27)),MID(Sheet4!B27,4,20),IF(Sheet4!B27="________________","Σύνολα",IF(MID(Sheet4!B26,4,20)="Ballast","Σύνολα","")))</f>
        <v/>
      </c>
      <c r="C27" t="str">
        <f>IF(LEFT(A27,3)="TK-",VLOOKUP(A27,Sheet3!A:B,2,FALSE),IF(B27="Σύνολα",SUMIF(B$1:B$200,Sheet6!K26,C$1:C$200),""))</f>
        <v/>
      </c>
      <c r="D27" t="str">
        <f>IF(LEFT(A27,3)="TK-",VLOOKUP(A27,Sheet3!A:C,3,FALSE),"")</f>
        <v/>
      </c>
      <c r="E27" t="str">
        <f>IF(ISNUMBER(Sheet4!D27),ROUND(Sheet4!D27,1),IF(B27="Σύνολα",SUMIF(B$1:B$200,Sheet6!K26,E$1:E$200),""))</f>
        <v/>
      </c>
      <c r="F27" s="31" t="str">
        <f>IF(ISNUMBER(Sheet4!E27),Sheet4!E27,"")</f>
        <v/>
      </c>
      <c r="G27" t="str">
        <f>IF(ISNUMBER(Sheet4!G27),ROUND(Sheet4!G27,1),IF(B27="Σύνολα",SUMIF(B$1:B$200,Sheet6!K26,G$1:G$200),""))</f>
        <v/>
      </c>
      <c r="H27" t="str">
        <f>IF(ISNUMBER(Sheet4!F27),ROUND(Sheet4!F27,1),IF(B27="Σύνολα",SUMIF(B$1:B$200,Sheet6!K26,H$1:H$200),""))</f>
        <v/>
      </c>
      <c r="I27" t="str">
        <f>IF(ISNUMBER(Sheet4!J27),ROUND(Sheet4!J27,1),IF(B27="Σύνολα",SUMIF(B$1:B$200,Sheet6!K26,I$1:I$200),""))</f>
        <v/>
      </c>
      <c r="J27" t="str">
        <f>IF(LEFT(A27,3)="TK-",VLOOKUP(A27,Sheet3!A:D,4,FALSE),IF(B27="Σύνολα",SUMIF(B$1:B$200,Sheet6!K26,J$1:J$200),""))</f>
        <v/>
      </c>
      <c r="K27" t="str">
        <f>IF(B27="Σύνολα",SUMIF(B$1:B$200,Sheet6!K26,K$1:K$200),IF(ISNUMBER(E27),IF(E27&gt;J27,ROUND((E27-J27),1),""),""))</f>
        <v/>
      </c>
      <c r="L27" s="6" t="str">
        <f>IF(ISNUMBER(Sheet4!J27),IF(AND(ISNUMBER(H27),H27&gt;0,I27&gt;0),ROUNDDOWN(H27/I27,0),""),"")</f>
        <v/>
      </c>
      <c r="M27" s="6" t="str">
        <f>IF(AND(ISNUMBER(Sheet4!J27),ISNUMBER(K27)),IF(I27&lt;0,ROUNDDOWN(K27/I27,0),""),"")</f>
        <v/>
      </c>
      <c r="N27" s="29" t="str">
        <f>IF(ISNUMBER(Sheet4!H27),Sheet4!H27/1000,"")</f>
        <v/>
      </c>
    </row>
    <row r="28" spans="1:14" ht="12.75" customHeight="1" x14ac:dyDescent="0.2">
      <c r="A28" t="str">
        <f>IF(OR(Sheet4!C28="?",ISNUMBER(Sheet4!C28)),Sheet4!A28,IF(B28="Σύνολα",B27,""))</f>
        <v/>
      </c>
      <c r="B28" s="94" t="str">
        <f>IF(OR(Sheet4!D28="?",ISNUMBER(Sheet4!D28)),MID(Sheet4!B28,4,20),IF(Sheet4!B28="________________","Σύνολα",IF(MID(Sheet4!B27,4,20)="Ballast","Σύνολα","")))</f>
        <v/>
      </c>
      <c r="C28" t="str">
        <f>IF(LEFT(A28,3)="TK-",VLOOKUP(A28,Sheet3!A:B,2,FALSE),IF(B28="Σύνολα",SUMIF(B$1:B$200,Sheet6!K27,C$1:C$200),""))</f>
        <v/>
      </c>
      <c r="D28" t="str">
        <f>IF(LEFT(A28,3)="TK-",VLOOKUP(A28,Sheet3!A:C,3,FALSE),"")</f>
        <v/>
      </c>
      <c r="E28" t="str">
        <f>IF(ISNUMBER(Sheet4!D28),ROUND(Sheet4!D28,1),IF(B28="Σύνολα",SUMIF(B$1:B$200,Sheet6!K27,E$1:E$200),""))</f>
        <v/>
      </c>
      <c r="F28" s="31" t="str">
        <f>IF(ISNUMBER(Sheet4!E28),Sheet4!E28,"")</f>
        <v/>
      </c>
      <c r="G28" t="str">
        <f>IF(ISNUMBER(Sheet4!G28),ROUND(Sheet4!G28,1),IF(B28="Σύνολα",SUMIF(B$1:B$200,Sheet6!K27,G$1:G$200),""))</f>
        <v/>
      </c>
      <c r="H28" t="str">
        <f>IF(ISNUMBER(Sheet4!F28),ROUND(Sheet4!F28,1),IF(B28="Σύνολα",SUMIF(B$1:B$200,Sheet6!K27,H$1:H$200),""))</f>
        <v/>
      </c>
      <c r="I28" t="str">
        <f>IF(ISNUMBER(Sheet4!J28),ROUND(Sheet4!J28,1),IF(B28="Σύνολα",SUMIF(B$1:B$200,Sheet6!K27,I$1:I$200),""))</f>
        <v/>
      </c>
      <c r="J28" t="str">
        <f>IF(LEFT(A28,3)="TK-",VLOOKUP(A28,Sheet3!A:D,4,FALSE),IF(B28="Σύνολα",SUMIF(B$1:B$200,Sheet6!K27,J$1:J$200),""))</f>
        <v/>
      </c>
      <c r="K28" t="str">
        <f>IF(B28="Σύνολα",SUMIF(B$1:B$200,Sheet6!K27,K$1:K$200),IF(ISNUMBER(E28),IF(E28&gt;J28,ROUND((E28-J28),1),""),""))</f>
        <v/>
      </c>
      <c r="L28" s="6" t="str">
        <f>IF(ISNUMBER(Sheet4!J28),IF(AND(ISNUMBER(H28),H28&gt;0,I28&gt;0),ROUNDDOWN(H28/I28,0),""),"")</f>
        <v/>
      </c>
      <c r="M28" s="6" t="str">
        <f>IF(AND(ISNUMBER(Sheet4!J28),ISNUMBER(K28)),IF(I28&lt;0,ROUNDDOWN(K28/I28,0),""),"")</f>
        <v/>
      </c>
      <c r="N28" s="29" t="str">
        <f>IF(ISNUMBER(Sheet4!H28),Sheet4!H28/1000,"")</f>
        <v/>
      </c>
    </row>
    <row r="29" spans="1:14" ht="12.75" customHeight="1" x14ac:dyDescent="0.2">
      <c r="A29" t="str">
        <f>IF(OR(Sheet4!C29="?",ISNUMBER(Sheet4!C29)),Sheet4!A29,IF(B29="Σύνολα",B28,""))</f>
        <v>TK-1102</v>
      </c>
      <c r="B29" s="94" t="str">
        <f>IF(OR(Sheet4!D29="?",ISNUMBER(Sheet4!D29)),MID(Sheet4!B29,4,20),IF(Sheet4!B29="________________","Σύνολα",IF(MID(Sheet4!B28,4,20)="Ballast","Σύνολα","")))</f>
        <v>Naptha</v>
      </c>
      <c r="C29">
        <f>IF(LEFT(A29,3)="TK-",VLOOKUP(A29,Sheet3!A:B,2,FALSE),IF(B29="Σύνολα",SUMIF(B$1:B$200,Sheet6!K28,C$1:C$200),""))</f>
        <v>4470</v>
      </c>
      <c r="D29" t="str">
        <f>IF(LEFT(A29,3)="TK-",VLOOKUP(A29,Sheet3!A:C,3,FALSE),"")</f>
        <v>358 + 49</v>
      </c>
      <c r="E29">
        <f>IF(ISNUMBER(Sheet4!D29),ROUND(Sheet4!D29,1),IF(B29="Σύνολα",SUMIF(B$1:B$200,Sheet6!K28,E$1:E$200),""))</f>
        <v>3688</v>
      </c>
      <c r="F29" s="31">
        <f>IF(ISNUMBER(Sheet4!E29),Sheet4!E29,"")</f>
        <v>12</v>
      </c>
      <c r="G29">
        <f>IF(ISNUMBER(Sheet4!G29),ROUND(Sheet4!G29,1),IF(B29="Σύνολα",SUMIF(B$1:B$200,Sheet6!K28,G$1:G$200),""))</f>
        <v>3701.6</v>
      </c>
      <c r="H29">
        <f>IF(ISNUMBER(Sheet4!F29),ROUND(Sheet4!F29,1),IF(B29="Σύνολα",SUMIF(B$1:B$200,Sheet6!K28,H$1:H$200),""))</f>
        <v>731.5</v>
      </c>
      <c r="I29">
        <f>IF(ISNUMBER(Sheet4!J29),ROUND(Sheet4!J29,1),IF(B29="Σύνολα",SUMIF(B$1:B$200,Sheet6!K28,I$1:I$200),""))</f>
        <v>-185</v>
      </c>
      <c r="J29">
        <f>IF(LEFT(A29,3)="TK-",VLOOKUP(A29,Sheet3!A:D,4,FALSE),IF(B29="Σύνολα",SUMIF(B$1:B$200,Sheet6!K28,J$1:J$200),""))</f>
        <v>300</v>
      </c>
      <c r="K29">
        <f>IF(B29="Σύνολα",SUMIF(B$1:B$200,Sheet6!K28,K$1:K$200),IF(ISNUMBER(E29),IF(E29&gt;J29,ROUND((E29-J29),1),""),""))</f>
        <v>3388</v>
      </c>
      <c r="L29" s="6" t="str">
        <f>IF(ISNUMBER(Sheet4!J29),IF(AND(ISNUMBER(H29),H29&gt;0,I29&gt;0),ROUNDDOWN(H29/I29,0),""),"")</f>
        <v/>
      </c>
      <c r="M29" s="6">
        <f>IF(AND(ISNUMBER(Sheet4!J29),ISNUMBER(K29)),IF(I29&lt;0,ROUNDDOWN(K29/I29,0),""),"")</f>
        <v>-18</v>
      </c>
      <c r="N29" s="29">
        <f>IF(ISNUMBER(Sheet4!H29),Sheet4!H29/1000,"")</f>
        <v>0.70569999999999999</v>
      </c>
    </row>
    <row r="30" spans="1:14" ht="12.75" customHeight="1" x14ac:dyDescent="0.2">
      <c r="A30" t="str">
        <f>IF(OR(Sheet4!C30="?",ISNUMBER(Sheet4!C30)),Sheet4!A30,IF(B30="Σύνολα",B29,""))</f>
        <v>TK-1103</v>
      </c>
      <c r="B30" s="94" t="str">
        <f>IF(OR(Sheet4!D30="?",ISNUMBER(Sheet4!D30)),MID(Sheet4!B30,4,20),IF(Sheet4!B30="________________","Σύνολα",IF(MID(Sheet4!B29,4,20)="Ballast","Σύνολα","")))</f>
        <v>Naptha</v>
      </c>
      <c r="C30">
        <f>IF(LEFT(A30,3)="TK-",VLOOKUP(A30,Sheet3!A:B,2,FALSE),IF(B30="Σύνολα",SUMIF(B$1:B$200,Sheet6!K29,C$1:C$200),""))</f>
        <v>6914</v>
      </c>
      <c r="D30" t="str">
        <f>IF(LEFT(A30,3)="TK-",VLOOKUP(A30,Sheet3!A:C,3,FALSE),"")</f>
        <v>552 + 79</v>
      </c>
      <c r="E30">
        <f>IF(ISNUMBER(Sheet4!D30),ROUND(Sheet4!D30,1),IF(B30="Σύνολα",SUMIF(B$1:B$200,Sheet6!K29,E$1:E$200),""))</f>
        <v>2716.6</v>
      </c>
      <c r="F30" s="31">
        <f>IF(ISNUMBER(Sheet4!E30),Sheet4!E30,"")</f>
        <v>1.7</v>
      </c>
      <c r="G30">
        <f>IF(ISNUMBER(Sheet4!G30),ROUND(Sheet4!G30,1),IF(B30="Σύνολα",SUMIF(B$1:B$200,Sheet6!K29,G$1:G$200),""))</f>
        <v>2763.8</v>
      </c>
      <c r="H30">
        <f>IF(ISNUMBER(Sheet4!F30),ROUND(Sheet4!F30,1),IF(B30="Σύνολα",SUMIF(B$1:B$200,Sheet6!K29,H$1:H$200),""))</f>
        <v>4133.3999999999996</v>
      </c>
      <c r="I30">
        <f>IF(ISNUMBER(Sheet4!J30),ROUND(Sheet4!J30,1),IF(B30="Σύνολα",SUMIF(B$1:B$200,Sheet6!K29,I$1:I$200),""))</f>
        <v>16.5</v>
      </c>
      <c r="J30">
        <f>IF(LEFT(A30,3)="TK-",VLOOKUP(A30,Sheet3!A:D,4,FALSE),IF(B30="Σύνολα",SUMIF(B$1:B$200,Sheet6!K29,J$1:J$200),""))</f>
        <v>650</v>
      </c>
      <c r="K30">
        <f>IF(B30="Σύνολα",SUMIF(B$1:B$200,Sheet6!K29,K$1:K$200),IF(ISNUMBER(E30),IF(E30&gt;J30,ROUND((E30-J30),1),""),""))</f>
        <v>2066.6</v>
      </c>
      <c r="L30" s="6">
        <f>IF(ISNUMBER(Sheet4!J30),IF(AND(ISNUMBER(H30),H30&gt;0,I30&gt;0),ROUNDDOWN(H30/I30,0),""),"")</f>
        <v>250</v>
      </c>
      <c r="M30" s="6" t="str">
        <f>IF(AND(ISNUMBER(Sheet4!J30),ISNUMBER(K30)),IF(I30&lt;0,ROUNDDOWN(K30/I30,0),""),"")</f>
        <v/>
      </c>
      <c r="N30" s="29">
        <f>IF(ISNUMBER(Sheet4!H30),Sheet4!H30/1000,"")</f>
        <v>0.70699999999999996</v>
      </c>
    </row>
    <row r="31" spans="1:14" ht="12.75" customHeight="1" x14ac:dyDescent="0.2">
      <c r="A31" t="str">
        <f>IF(OR(Sheet4!C31="?",ISNUMBER(Sheet4!C31)),Sheet4!A31,IF(B31="Σύνολα",B30,""))</f>
        <v>Naptha</v>
      </c>
      <c r="B31" s="94" t="str">
        <f>IF(OR(Sheet4!D31="?",ISNUMBER(Sheet4!D31)),MID(Sheet4!B31,4,20),IF(Sheet4!B31="________________","Σύνολα",IF(MID(Sheet4!B30,4,20)="Ballast","Σύνολα","")))</f>
        <v>Σύνολα</v>
      </c>
      <c r="C31">
        <f>IF(LEFT(A31,3)="TK-",VLOOKUP(A31,Sheet3!A:B,2,FALSE),IF(B31="Σύνολα",SUMIF(B$1:B$200,Sheet6!K30,C$1:C$200),""))</f>
        <v>11384</v>
      </c>
      <c r="D31" t="str">
        <f>IF(LEFT(A31,3)="TK-",VLOOKUP(A31,Sheet3!A:C,3,FALSE),"")</f>
        <v/>
      </c>
      <c r="E31">
        <f>IF(ISNUMBER(Sheet4!D31),ROUND(Sheet4!D31,1),IF(B31="Σύνολα",SUMIF(B$1:B$200,Sheet6!K30,E$1:E$200),""))</f>
        <v>6404.6</v>
      </c>
      <c r="F31" s="31" t="str">
        <f>IF(ISNUMBER(Sheet4!E31),Sheet4!E31,"")</f>
        <v/>
      </c>
      <c r="G31">
        <f>IF(ISNUMBER(Sheet4!G31),ROUND(Sheet4!G31,1),IF(B31="Σύνολα",SUMIF(B$1:B$200,Sheet6!K30,G$1:G$200),""))</f>
        <v>6465.4</v>
      </c>
      <c r="H31">
        <f>IF(ISNUMBER(Sheet4!F31),ROUND(Sheet4!F31,1),IF(B31="Σύνολα",SUMIF(B$1:B$200,Sheet6!K30,H$1:H$200),""))</f>
        <v>4864.8999999999996</v>
      </c>
      <c r="I31">
        <f>IF(ISNUMBER(Sheet4!J31),ROUND(Sheet4!J31,1),IF(B31="Σύνολα",SUMIF(B$1:B$200,Sheet6!K30,I$1:I$200),""))</f>
        <v>-168.5</v>
      </c>
      <c r="J31">
        <f>IF(LEFT(A31,3)="TK-",VLOOKUP(A31,Sheet3!A:D,4,FALSE),IF(B31="Σύνολα",SUMIF(B$1:B$200,Sheet6!K30,J$1:J$200),""))</f>
        <v>950</v>
      </c>
      <c r="K31">
        <f>IF(B31="Σύνολα",SUMIF(B$1:B$200,Sheet6!K30,K$1:K$200),IF(ISNUMBER(E31),IF(E31&gt;J31,ROUND((E31-J31),1),""),""))</f>
        <v>5454.6</v>
      </c>
      <c r="L31" s="6" t="str">
        <f>IF(ISNUMBER(Sheet4!J31),IF(AND(ISNUMBER(H31),H31&gt;0,I31&gt;0),ROUNDDOWN(H31/I31,0),""),"")</f>
        <v/>
      </c>
      <c r="M31" s="6" t="str">
        <f>IF(AND(ISNUMBER(Sheet4!J31),ISNUMBER(K31)),IF(I31&lt;0,ROUNDDOWN(K31/I31,0),""),"")</f>
        <v/>
      </c>
      <c r="N31" s="29" t="str">
        <f>IF(ISNUMBER(Sheet4!H31),Sheet4!H31/1000,"")</f>
        <v/>
      </c>
    </row>
    <row r="32" spans="1:14" ht="12.75" customHeight="1" x14ac:dyDescent="0.2">
      <c r="A32" t="str">
        <f>IF(OR(Sheet4!C32="?",ISNUMBER(Sheet4!C32)),Sheet4!A32,IF(B32="Σύνολα",B31,""))</f>
        <v/>
      </c>
      <c r="B32" s="94" t="str">
        <f>IF(OR(Sheet4!D32="?",ISNUMBER(Sheet4!D32)),MID(Sheet4!B32,4,20),IF(Sheet4!B32="________________","Σύνολα",IF(MID(Sheet4!B31,4,20)="Ballast","Σύνολα","")))</f>
        <v/>
      </c>
      <c r="C32" t="str">
        <f>IF(LEFT(A32,3)="TK-",VLOOKUP(A32,Sheet3!A:B,2,FALSE),IF(B32="Σύνολα",SUMIF(B$1:B$200,Sheet6!K31,C$1:C$200),""))</f>
        <v/>
      </c>
      <c r="D32" t="str">
        <f>IF(LEFT(A32,3)="TK-",VLOOKUP(A32,Sheet3!A:C,3,FALSE),"")</f>
        <v/>
      </c>
      <c r="E32" t="str">
        <f>IF(ISNUMBER(Sheet4!D32),ROUND(Sheet4!D32,1),IF(B32="Σύνολα",SUMIF(B$1:B$200,Sheet6!K31,E$1:E$200),""))</f>
        <v/>
      </c>
      <c r="F32" s="31" t="str">
        <f>IF(ISNUMBER(Sheet4!E32),Sheet4!E32,"")</f>
        <v/>
      </c>
      <c r="G32" t="str">
        <f>IF(ISNUMBER(Sheet4!G32),ROUND(Sheet4!G32,1),IF(B32="Σύνολα",SUMIF(B$1:B$200,Sheet6!K31,G$1:G$200),""))</f>
        <v/>
      </c>
      <c r="H32" t="str">
        <f>IF(ISNUMBER(Sheet4!F32),ROUND(Sheet4!F32,1),IF(B32="Σύνολα",SUMIF(B$1:B$200,Sheet6!K31,H$1:H$200),""))</f>
        <v/>
      </c>
      <c r="I32" t="str">
        <f>IF(ISNUMBER(Sheet4!J32),ROUND(Sheet4!J32,1),IF(B32="Σύνολα",SUMIF(B$1:B$200,Sheet6!K31,I$1:I$200),""))</f>
        <v/>
      </c>
      <c r="J32" t="str">
        <f>IF(LEFT(A32,3)="TK-",VLOOKUP(A32,Sheet3!A:D,4,FALSE),IF(B32="Σύνολα",SUMIF(B$1:B$200,Sheet6!K31,J$1:J$200),""))</f>
        <v/>
      </c>
      <c r="K32" t="str">
        <f>IF(B32="Σύνολα",SUMIF(B$1:B$200,Sheet6!K31,K$1:K$200),IF(ISNUMBER(E32),IF(E32&gt;J32,ROUND((E32-J32),1),""),""))</f>
        <v/>
      </c>
      <c r="L32" s="6" t="str">
        <f>IF(ISNUMBER(Sheet4!J32),IF(AND(ISNUMBER(H32),H32&gt;0,I32&gt;0),ROUNDDOWN(H32/I32,0),""),"")</f>
        <v/>
      </c>
      <c r="M32" s="6" t="str">
        <f>IF(AND(ISNUMBER(Sheet4!J32),ISNUMBER(K32)),IF(I32&lt;0,ROUNDDOWN(K32/I32,0),""),"")</f>
        <v/>
      </c>
      <c r="N32" s="29" t="str">
        <f>IF(ISNUMBER(Sheet4!H32),Sheet4!H32/1000,"")</f>
        <v/>
      </c>
    </row>
    <row r="33" spans="1:14" ht="12.75" customHeight="1" x14ac:dyDescent="0.2">
      <c r="A33" t="str">
        <f>IF(OR(Sheet4!C33="?",ISNUMBER(Sheet4!C33)),Sheet4!A33,IF(B33="Σύνολα",B32,""))</f>
        <v/>
      </c>
      <c r="B33" s="94" t="str">
        <f>IF(OR(Sheet4!D33="?",ISNUMBER(Sheet4!D33)),MID(Sheet4!B33,4,20),IF(Sheet4!B33="________________","Σύνολα",IF(MID(Sheet4!B32,4,20)="Ballast","Σύνολα","")))</f>
        <v/>
      </c>
      <c r="C33" t="str">
        <f>IF(LEFT(A33,3)="TK-",VLOOKUP(A33,Sheet3!A:B,2,FALSE),IF(B33="Σύνολα",SUMIF(B$1:B$200,Sheet6!K32,C$1:C$200),""))</f>
        <v/>
      </c>
      <c r="D33" t="str">
        <f>IF(LEFT(A33,3)="TK-",VLOOKUP(A33,Sheet3!A:C,3,FALSE),"")</f>
        <v/>
      </c>
      <c r="E33" t="str">
        <f>IF(ISNUMBER(Sheet4!D33),ROUND(Sheet4!D33,1),IF(B33="Σύνολα",SUMIF(B$1:B$200,Sheet6!K32,E$1:E$200),""))</f>
        <v/>
      </c>
      <c r="F33" s="31" t="str">
        <f>IF(ISNUMBER(Sheet4!E33),Sheet4!E33,"")</f>
        <v/>
      </c>
      <c r="G33" t="str">
        <f>IF(ISNUMBER(Sheet4!G33),ROUND(Sheet4!G33,1),IF(B33="Σύνολα",SUMIF(B$1:B$200,Sheet6!K32,G$1:G$200),""))</f>
        <v/>
      </c>
      <c r="H33" t="str">
        <f>IF(ISNUMBER(Sheet4!F33),ROUND(Sheet4!F33,1),IF(B33="Σύνολα",SUMIF(B$1:B$200,Sheet6!K32,H$1:H$200),""))</f>
        <v/>
      </c>
      <c r="I33" t="str">
        <f>IF(ISNUMBER(Sheet4!J33),ROUND(Sheet4!J33,1),IF(B33="Σύνολα",SUMIF(B$1:B$200,Sheet6!K32,I$1:I$200),""))</f>
        <v/>
      </c>
      <c r="J33" t="str">
        <f>IF(LEFT(A33,3)="TK-",VLOOKUP(A33,Sheet3!A:D,4,FALSE),IF(B33="Σύνολα",SUMIF(B$1:B$200,Sheet6!K32,J$1:J$200),""))</f>
        <v/>
      </c>
      <c r="K33" t="str">
        <f>IF(B33="Σύνολα",SUMIF(B$1:B$200,Sheet6!K32,K$1:K$200),IF(ISNUMBER(E33),IF(E33&gt;J33,ROUND((E33-J33),1),""),""))</f>
        <v/>
      </c>
      <c r="L33" s="6" t="str">
        <f>IF(ISNUMBER(Sheet4!J33),IF(AND(ISNUMBER(H33),H33&gt;0,I33&gt;0),ROUNDDOWN(H33/I33,0),""),"")</f>
        <v/>
      </c>
      <c r="M33" s="6" t="str">
        <f>IF(AND(ISNUMBER(Sheet4!J33),ISNUMBER(K33)),IF(I33&lt;0,ROUNDDOWN(K33/I33,0),""),"")</f>
        <v/>
      </c>
      <c r="N33" s="29" t="str">
        <f>IF(ISNUMBER(Sheet4!H33),Sheet4!H33/1000,"")</f>
        <v/>
      </c>
    </row>
    <row r="34" spans="1:14" ht="12.75" customHeight="1" x14ac:dyDescent="0.2">
      <c r="A34" t="str">
        <f>IF(OR(Sheet4!C34="?",ISNUMBER(Sheet4!C34)),Sheet4!A34,IF(B34="Σύνολα",B33,""))</f>
        <v>TK-1104</v>
      </c>
      <c r="B34" s="94" t="str">
        <f>IF(OR(Sheet4!D34="?",ISNUMBER(Sheet4!D34)),MID(Sheet4!B34,4,20),IF(Sheet4!B34="________________","Σύνολα",IF(MID(Sheet4!B33,4,20)="Ballast","Σύνολα","")))</f>
        <v>Hexane</v>
      </c>
      <c r="C34">
        <f>IF(LEFT(A34,3)="TK-",VLOOKUP(A34,Sheet3!A:B,2,FALSE),IF(B34="Σύνολα",SUMIF(B$1:B$200,Sheet6!K33,C$1:C$200),""))</f>
        <v>1703</v>
      </c>
      <c r="D34" t="str">
        <f>IF(LEFT(A34,3)="TK-",VLOOKUP(A34,Sheet3!A:C,3,FALSE),"")</f>
        <v>141 + 11</v>
      </c>
      <c r="E34">
        <f>IF(ISNUMBER(Sheet4!D34),ROUND(Sheet4!D34,1),IF(B34="Σύνολα",SUMIF(B$1:B$200,Sheet6!K33,E$1:E$200),""))</f>
        <v>848.1</v>
      </c>
      <c r="F34" s="31">
        <f>IF(ISNUMBER(Sheet4!E34),Sheet4!E34,"")</f>
        <v>11.8</v>
      </c>
      <c r="G34">
        <f>IF(ISNUMBER(Sheet4!G34),ROUND(Sheet4!G34,1),IF(B34="Σύνολα",SUMIF(B$1:B$200,Sheet6!K33,G$1:G$200),""))</f>
        <v>841.3</v>
      </c>
      <c r="H34">
        <f>IF(ISNUMBER(Sheet4!F34),ROUND(Sheet4!F34,1),IF(B34="Σύνολα",SUMIF(B$1:B$200,Sheet6!K33,H$1:H$200),""))</f>
        <v>824.4</v>
      </c>
      <c r="I34">
        <f>IF(ISNUMBER(Sheet4!J34),ROUND(Sheet4!J34,1),IF(B34="Σύνολα",SUMIF(B$1:B$200,Sheet6!K33,I$1:I$200),""))</f>
        <v>-4.5999999999999996</v>
      </c>
      <c r="J34">
        <f>IF(LEFT(A34,3)="TK-",VLOOKUP(A34,Sheet3!A:D,4,FALSE),IF(B34="Σύνολα",SUMIF(B$1:B$200,Sheet6!K33,J$1:J$200),""))</f>
        <v>300</v>
      </c>
      <c r="K34">
        <f>IF(B34="Σύνολα",SUMIF(B$1:B$200,Sheet6!K33,K$1:K$200),IF(ISNUMBER(E34),IF(E34&gt;J34,ROUND((E34-J34),1),""),""))</f>
        <v>548.1</v>
      </c>
      <c r="L34" s="6" t="str">
        <f>IF(ISNUMBER(Sheet4!J34),IF(AND(ISNUMBER(H34),H34&gt;0,I34&gt;0),ROUNDDOWN(H34/I34,0),""),"")</f>
        <v/>
      </c>
      <c r="M34" s="6">
        <f>IF(AND(ISNUMBER(Sheet4!J34),ISNUMBER(K34)),IF(I34&lt;0,ROUNDDOWN(K34/I34,0),""),"")</f>
        <v>-119</v>
      </c>
      <c r="N34" s="29">
        <f>IF(ISNUMBER(Sheet4!H34),Sheet4!H34/1000,"")</f>
        <v>0.67330000000000001</v>
      </c>
    </row>
    <row r="35" spans="1:14" ht="12.75" customHeight="1" x14ac:dyDescent="0.2">
      <c r="A35" t="str">
        <f>IF(OR(Sheet4!C35="?",ISNUMBER(Sheet4!C35)),Sheet4!A35,IF(B35="Σύνολα",B34,""))</f>
        <v>Hexane</v>
      </c>
      <c r="B35" s="94" t="str">
        <f>IF(OR(Sheet4!D35="?",ISNUMBER(Sheet4!D35)),MID(Sheet4!B35,4,20),IF(Sheet4!B35="________________","Σύνολα",IF(MID(Sheet4!B34,4,20)="Ballast","Σύνολα","")))</f>
        <v>Σύνολα</v>
      </c>
      <c r="C35">
        <f>IF(LEFT(A35,3)="TK-",VLOOKUP(A35,Sheet3!A:B,2,FALSE),IF(B35="Σύνολα",SUMIF(B$1:B$200,Sheet6!K34,C$1:C$200),""))</f>
        <v>1703</v>
      </c>
      <c r="D35" t="str">
        <f>IF(LEFT(A35,3)="TK-",VLOOKUP(A35,Sheet3!A:C,3,FALSE),"")</f>
        <v/>
      </c>
      <c r="E35">
        <f>IF(ISNUMBER(Sheet4!D35),ROUND(Sheet4!D35,1),IF(B35="Σύνολα",SUMIF(B$1:B$200,Sheet6!K34,E$1:E$200),""))</f>
        <v>848.1</v>
      </c>
      <c r="F35" s="31" t="str">
        <f>IF(ISNUMBER(Sheet4!E35),Sheet4!E35,"")</f>
        <v/>
      </c>
      <c r="G35">
        <f>IF(ISNUMBER(Sheet4!G35),ROUND(Sheet4!G35,1),IF(B35="Σύνολα",SUMIF(B$1:B$200,Sheet6!K34,G$1:G$200),""))</f>
        <v>841.3</v>
      </c>
      <c r="H35">
        <f>IF(ISNUMBER(Sheet4!F35),ROUND(Sheet4!F35,1),IF(B35="Σύνολα",SUMIF(B$1:B$200,Sheet6!K34,H$1:H$200),""))</f>
        <v>824.4</v>
      </c>
      <c r="I35">
        <f>IF(ISNUMBER(Sheet4!J35),ROUND(Sheet4!J35,1),IF(B35="Σύνολα",SUMIF(B$1:B$200,Sheet6!K34,I$1:I$200),""))</f>
        <v>-4.5999999999999996</v>
      </c>
      <c r="J35">
        <f>IF(LEFT(A35,3)="TK-",VLOOKUP(A35,Sheet3!A:D,4,FALSE),IF(B35="Σύνολα",SUMIF(B$1:B$200,Sheet6!K34,J$1:J$200),""))</f>
        <v>300</v>
      </c>
      <c r="K35">
        <f>IF(B35="Σύνολα",SUMIF(B$1:B$200,Sheet6!K34,K$1:K$200),IF(ISNUMBER(E35),IF(E35&gt;J35,ROUND((E35-J35),1),""),""))</f>
        <v>548.1</v>
      </c>
      <c r="L35" s="6" t="str">
        <f>IF(ISNUMBER(Sheet4!J35),IF(AND(ISNUMBER(H35),H35&gt;0,I35&gt;0),ROUNDDOWN(H35/I35,0),""),"")</f>
        <v/>
      </c>
      <c r="M35" s="6" t="str">
        <f>IF(AND(ISNUMBER(Sheet4!J35),ISNUMBER(K35)),IF(I35&lt;0,ROUNDDOWN(K35/I35,0),""),"")</f>
        <v/>
      </c>
      <c r="N35" s="29" t="str">
        <f>IF(ISNUMBER(Sheet4!H35),Sheet4!H35/1000,"")</f>
        <v/>
      </c>
    </row>
    <row r="36" spans="1:14" ht="12.75" customHeight="1" x14ac:dyDescent="0.2">
      <c r="A36" t="str">
        <f>IF(OR(Sheet4!C36="?",ISNUMBER(Sheet4!C36)),Sheet4!A36,IF(B36="Σύνολα",B35,""))</f>
        <v/>
      </c>
      <c r="B36" s="94" t="str">
        <f>IF(OR(Sheet4!D36="?",ISNUMBER(Sheet4!D36)),MID(Sheet4!B36,4,20),IF(Sheet4!B36="________________","Σύνολα",IF(MID(Sheet4!B35,4,20)="Ballast","Σύνολα","")))</f>
        <v/>
      </c>
      <c r="C36" t="str">
        <f>IF(LEFT(A36,3)="TK-",VLOOKUP(A36,Sheet3!A:B,2,FALSE),IF(B36="Σύνολα",SUMIF(B$1:B$200,Sheet6!K35,C$1:C$200),""))</f>
        <v/>
      </c>
      <c r="D36" t="str">
        <f>IF(LEFT(A36,3)="TK-",VLOOKUP(A36,Sheet3!A:C,3,FALSE),"")</f>
        <v/>
      </c>
      <c r="E36" t="str">
        <f>IF(ISNUMBER(Sheet4!D36),ROUND(Sheet4!D36,1),IF(B36="Σύνολα",SUMIF(B$1:B$200,Sheet6!K35,E$1:E$200),""))</f>
        <v/>
      </c>
      <c r="F36" s="31" t="str">
        <f>IF(ISNUMBER(Sheet4!E36),Sheet4!E36,"")</f>
        <v/>
      </c>
      <c r="G36" t="str">
        <f>IF(ISNUMBER(Sheet4!G36),ROUND(Sheet4!G36,1),IF(B36="Σύνολα",SUMIF(B$1:B$200,Sheet6!K35,G$1:G$200),""))</f>
        <v/>
      </c>
      <c r="H36" t="str">
        <f>IF(ISNUMBER(Sheet4!F36),ROUND(Sheet4!F36,1),IF(B36="Σύνολα",SUMIF(B$1:B$200,Sheet6!K35,H$1:H$200),""))</f>
        <v/>
      </c>
      <c r="I36" t="str">
        <f>IF(ISNUMBER(Sheet4!J36),ROUND(Sheet4!J36,1),IF(B36="Σύνολα",SUMIF(B$1:B$200,Sheet6!K35,I$1:I$200),""))</f>
        <v/>
      </c>
      <c r="J36" t="str">
        <f>IF(LEFT(A36,3)="TK-",VLOOKUP(A36,Sheet3!A:D,4,FALSE),IF(B36="Σύνολα",SUMIF(B$1:B$200,Sheet6!K35,J$1:J$200),""))</f>
        <v/>
      </c>
      <c r="K36" t="str">
        <f>IF(B36="Σύνολα",SUMIF(B$1:B$200,Sheet6!K35,K$1:K$200),IF(ISNUMBER(E36),IF(E36&gt;J36,ROUND((E36-J36),1),""),""))</f>
        <v/>
      </c>
      <c r="L36" s="6" t="str">
        <f>IF(ISNUMBER(Sheet4!J36),IF(AND(ISNUMBER(H36),H36&gt;0,I36&gt;0),ROUNDDOWN(H36/I36,0),""),"")</f>
        <v/>
      </c>
      <c r="M36" s="6" t="str">
        <f>IF(AND(ISNUMBER(Sheet4!J36),ISNUMBER(K36)),IF(I36&lt;0,ROUNDDOWN(K36/I36,0),""),"")</f>
        <v/>
      </c>
      <c r="N36" s="29" t="str">
        <f>IF(ISNUMBER(Sheet4!H36),Sheet4!H36/1000,"")</f>
        <v/>
      </c>
    </row>
    <row r="37" spans="1:14" ht="12.75" customHeight="1" x14ac:dyDescent="0.2">
      <c r="A37" t="str">
        <f>IF(OR(Sheet4!C37="?",ISNUMBER(Sheet4!C37)),Sheet4!A37,IF(B37="Σύνολα",B36,""))</f>
        <v/>
      </c>
      <c r="B37" s="94" t="str">
        <f>IF(OR(Sheet4!D37="?",ISNUMBER(Sheet4!D37)),MID(Sheet4!B37,4,20),IF(Sheet4!B37="________________","Σύνολα",IF(MID(Sheet4!B36,4,20)="Ballast","Σύνολα","")))</f>
        <v/>
      </c>
      <c r="C37" t="str">
        <f>IF(LEFT(A37,3)="TK-",VLOOKUP(A37,Sheet3!A:B,2,FALSE),IF(B37="Σύνολα",SUMIF(B$1:B$200,Sheet6!K36,C$1:C$200),""))</f>
        <v/>
      </c>
      <c r="D37" t="str">
        <f>IF(LEFT(A37,3)="TK-",VLOOKUP(A37,Sheet3!A:C,3,FALSE),"")</f>
        <v/>
      </c>
      <c r="E37" t="str">
        <f>IF(ISNUMBER(Sheet4!D37),ROUND(Sheet4!D37,1),IF(B37="Σύνολα",SUMIF(B$1:B$200,Sheet6!K36,E$1:E$200),""))</f>
        <v/>
      </c>
      <c r="F37" s="31" t="str">
        <f>IF(ISNUMBER(Sheet4!E37),Sheet4!E37,"")</f>
        <v/>
      </c>
      <c r="G37" t="str">
        <f>IF(ISNUMBER(Sheet4!G37),ROUND(Sheet4!G37,1),IF(B37="Σύνολα",SUMIF(B$1:B$200,Sheet6!K36,G$1:G$200),""))</f>
        <v/>
      </c>
      <c r="H37" t="str">
        <f>IF(ISNUMBER(Sheet4!F37),ROUND(Sheet4!F37,1),IF(B37="Σύνολα",SUMIF(B$1:B$200,Sheet6!K36,H$1:H$200),""))</f>
        <v/>
      </c>
      <c r="I37" t="str">
        <f>IF(ISNUMBER(Sheet4!J37),ROUND(Sheet4!J37,1),IF(B37="Σύνολα",SUMIF(B$1:B$200,Sheet6!K36,I$1:I$200),""))</f>
        <v/>
      </c>
      <c r="J37" t="str">
        <f>IF(LEFT(A37,3)="TK-",VLOOKUP(A37,Sheet3!A:D,4,FALSE),IF(B37="Σύνολα",SUMIF(B$1:B$200,Sheet6!K36,J$1:J$200),""))</f>
        <v/>
      </c>
      <c r="K37" t="str">
        <f>IF(B37="Σύνολα",SUMIF(B$1:B$200,Sheet6!K36,K$1:K$200),IF(ISNUMBER(E37),IF(E37&gt;J37,ROUND((E37-J37),1),""),""))</f>
        <v/>
      </c>
      <c r="L37" s="6" t="str">
        <f>IF(ISNUMBER(Sheet4!J37),IF(AND(ISNUMBER(H37),H37&gt;0,I37&gt;0),ROUNDDOWN(H37/I37,0),""),"")</f>
        <v/>
      </c>
      <c r="M37" s="6" t="str">
        <f>IF(AND(ISNUMBER(Sheet4!J37),ISNUMBER(K37)),IF(I37&lt;0,ROUNDDOWN(K37/I37,0),""),"")</f>
        <v/>
      </c>
      <c r="N37" s="29" t="str">
        <f>IF(ISNUMBER(Sheet4!H37),Sheet4!H37/1000,"")</f>
        <v/>
      </c>
    </row>
    <row r="38" spans="1:14" ht="12.75" customHeight="1" x14ac:dyDescent="0.2">
      <c r="A38" t="str">
        <f>IF(OR(Sheet4!C38="?",ISNUMBER(Sheet4!C38)),Sheet4!A38,IF(B38="Σύνολα",B37,""))</f>
        <v>TK-1075</v>
      </c>
      <c r="B38" s="94" t="str">
        <f>IF(OR(Sheet4!D38="?",ISNUMBER(Sheet4!D38)),MID(Sheet4!B38,4,20),IF(Sheet4!B38="________________","Σύνολα",IF(MID(Sheet4!B37,4,20)="Ballast","Σύνολα","")))</f>
        <v>M.T.B.E</v>
      </c>
      <c r="C38">
        <f>IF(LEFT(A38,3)="TK-",VLOOKUP(A38,Sheet3!A:B,2,FALSE),IF(B38="Σύνολα",SUMIF(B$1:B$200,Sheet6!K37,C$1:C$200),""))</f>
        <v>10791</v>
      </c>
      <c r="D38" t="str">
        <f>IF(LEFT(A38,3)="TK-",VLOOKUP(A38,Sheet3!A:C,3,FALSE),"")</f>
        <v>775 + 172</v>
      </c>
      <c r="E38">
        <f>IF(ISNUMBER(Sheet4!D38),ROUND(Sheet4!D38,1),IF(B38="Σύνολα",SUMIF(B$1:B$200,Sheet6!K37,E$1:E$200),""))</f>
        <v>8959.7999999999993</v>
      </c>
      <c r="F38" s="31">
        <f>IF(ISNUMBER(Sheet4!E38),Sheet4!E38,"")</f>
        <v>14.5</v>
      </c>
      <c r="G38">
        <f>IF(ISNUMBER(Sheet4!G38),ROUND(Sheet4!G38,1),IF(B38="Σύνολα",SUMIF(B$1:B$200,Sheet6!K37,G$1:G$200),""))</f>
        <v>8965.2000000000007</v>
      </c>
      <c r="H38">
        <f>IF(ISNUMBER(Sheet4!F38),ROUND(Sheet4!F38,1),IF(B38="Σύνολα",SUMIF(B$1:B$200,Sheet6!K37,H$1:H$200),""))</f>
        <v>1756.8</v>
      </c>
      <c r="I38">
        <f>IF(ISNUMBER(Sheet4!J38),ROUND(Sheet4!J38,1),IF(B38="Σύνολα",SUMIF(B$1:B$200,Sheet6!K37,I$1:I$200),""))</f>
        <v>4</v>
      </c>
      <c r="J38">
        <f>IF(LEFT(A38,3)="TK-",VLOOKUP(A38,Sheet3!A:D,4,FALSE),IF(B38="Σύνολα",SUMIF(B$1:B$200,Sheet6!K37,J$1:J$200),""))</f>
        <v>710</v>
      </c>
      <c r="K38">
        <f>IF(B38="Σύνολα",SUMIF(B$1:B$200,Sheet6!K37,K$1:K$200),IF(ISNUMBER(E38),IF(E38&gt;J38,ROUND((E38-J38),1),""),""))</f>
        <v>8249.7999999999993</v>
      </c>
      <c r="L38" s="6">
        <f>IF(ISNUMBER(Sheet4!J38),IF(AND(ISNUMBER(H38),H38&gt;0,I38&gt;0),ROUNDDOWN(H38/I38,0),""),"")</f>
        <v>439</v>
      </c>
      <c r="M38" s="6" t="str">
        <f>IF(AND(ISNUMBER(Sheet4!J38),ISNUMBER(K38)),IF(I38&lt;0,ROUNDDOWN(K38/I38,0),""),"")</f>
        <v/>
      </c>
      <c r="N38" s="29">
        <f>IF(ISNUMBER(Sheet4!H38),Sheet4!H38/1000,"")</f>
        <v>0.74609999999999999</v>
      </c>
    </row>
    <row r="39" spans="1:14" ht="12.75" customHeight="1" x14ac:dyDescent="0.2">
      <c r="A39" t="str">
        <f>IF(OR(Sheet4!C39="?",ISNUMBER(Sheet4!C39)),Sheet4!A39,IF(B39="Σύνολα",B38,""))</f>
        <v>M.T.B.E</v>
      </c>
      <c r="B39" s="94" t="str">
        <f>IF(OR(Sheet4!D39="?",ISNUMBER(Sheet4!D39)),MID(Sheet4!B39,4,20),IF(Sheet4!B39="________________","Σύνολα",IF(MID(Sheet4!B38,4,20)="Ballast","Σύνολα","")))</f>
        <v>Σύνολα</v>
      </c>
      <c r="C39">
        <f>IF(LEFT(A39,3)="TK-",VLOOKUP(A39,Sheet3!A:B,2,FALSE),IF(B39="Σύνολα",SUMIF(B$1:B$200,Sheet6!K38,C$1:C$200),""))</f>
        <v>10791</v>
      </c>
      <c r="D39" t="str">
        <f>IF(LEFT(A39,3)="TK-",VLOOKUP(A39,Sheet3!A:C,3,FALSE),"")</f>
        <v/>
      </c>
      <c r="E39">
        <f>IF(ISNUMBER(Sheet4!D39),ROUND(Sheet4!D39,1),IF(B39="Σύνολα",SUMIF(B$1:B$200,Sheet6!K38,E$1:E$200),""))</f>
        <v>8959.7999999999993</v>
      </c>
      <c r="F39" s="31" t="str">
        <f>IF(ISNUMBER(Sheet4!E39),Sheet4!E39,"")</f>
        <v/>
      </c>
      <c r="G39">
        <f>IF(ISNUMBER(Sheet4!G39),ROUND(Sheet4!G39,1),IF(B39="Σύνολα",SUMIF(B$1:B$200,Sheet6!K38,G$1:G$200),""))</f>
        <v>8965.2000000000007</v>
      </c>
      <c r="H39">
        <f>IF(ISNUMBER(Sheet4!F39),ROUND(Sheet4!F39,1),IF(B39="Σύνολα",SUMIF(B$1:B$200,Sheet6!K38,H$1:H$200),""))</f>
        <v>1756.8</v>
      </c>
      <c r="I39">
        <f>IF(ISNUMBER(Sheet4!J39),ROUND(Sheet4!J39,1),IF(B39="Σύνολα",SUMIF(B$1:B$200,Sheet6!K38,I$1:I$200),""))</f>
        <v>4</v>
      </c>
      <c r="J39">
        <f>IF(LEFT(A39,3)="TK-",VLOOKUP(A39,Sheet3!A:D,4,FALSE),IF(B39="Σύνολα",SUMIF(B$1:B$200,Sheet6!K38,J$1:J$200),""))</f>
        <v>710</v>
      </c>
      <c r="K39">
        <f>IF(B39="Σύνολα",SUMIF(B$1:B$200,Sheet6!K38,K$1:K$200),IF(ISNUMBER(E39),IF(E39&gt;J39,ROUND((E39-J39),1),""),""))</f>
        <v>8249.7999999999993</v>
      </c>
      <c r="L39" s="6" t="str">
        <f>IF(ISNUMBER(Sheet4!J39),IF(AND(ISNUMBER(H39),H39&gt;0,I39&gt;0),ROUNDDOWN(H39/I39,0),""),"")</f>
        <v/>
      </c>
      <c r="M39" s="6" t="str">
        <f>IF(AND(ISNUMBER(Sheet4!J39),ISNUMBER(K39)),IF(I39&lt;0,ROUNDDOWN(K39/I39,0),""),"")</f>
        <v/>
      </c>
      <c r="N39" s="29" t="str">
        <f>IF(ISNUMBER(Sheet4!H39),Sheet4!H39/1000,"")</f>
        <v/>
      </c>
    </row>
    <row r="40" spans="1:14" ht="12.75" customHeight="1" x14ac:dyDescent="0.2">
      <c r="A40" t="str">
        <f>IF(OR(Sheet4!C40="?",ISNUMBER(Sheet4!C40)),Sheet4!A40,IF(B40="Σύνολα",B39,""))</f>
        <v/>
      </c>
      <c r="B40" s="94" t="str">
        <f>IF(OR(Sheet4!D40="?",ISNUMBER(Sheet4!D40)),MID(Sheet4!B40,4,20),IF(Sheet4!B40="________________","Σύνολα",IF(MID(Sheet4!B39,4,20)="Ballast","Σύνολα","")))</f>
        <v/>
      </c>
      <c r="C40" t="str">
        <f>IF(LEFT(A40,3)="TK-",VLOOKUP(A40,Sheet3!A:B,2,FALSE),IF(B40="Σύνολα",SUMIF(B$1:B$200,Sheet6!K39,C$1:C$200),""))</f>
        <v/>
      </c>
      <c r="D40" t="str">
        <f>IF(LEFT(A40,3)="TK-",VLOOKUP(A40,Sheet3!A:C,3,FALSE),"")</f>
        <v/>
      </c>
      <c r="E40" t="str">
        <f>IF(ISNUMBER(Sheet4!D40),ROUND(Sheet4!D40,1),IF(B40="Σύνολα",SUMIF(B$1:B$200,Sheet6!K39,E$1:E$200),""))</f>
        <v/>
      </c>
      <c r="F40" s="31" t="str">
        <f>IF(ISNUMBER(Sheet4!E40),Sheet4!E40,"")</f>
        <v/>
      </c>
      <c r="G40" t="str">
        <f>IF(ISNUMBER(Sheet4!G40),ROUND(Sheet4!G40,1),IF(B40="Σύνολα",SUMIF(B$1:B$200,Sheet6!K39,G$1:G$200),""))</f>
        <v/>
      </c>
      <c r="H40" t="str">
        <f>IF(ISNUMBER(Sheet4!F40),ROUND(Sheet4!F40,1),IF(B40="Σύνολα",SUMIF(B$1:B$200,Sheet6!K39,H$1:H$200),""))</f>
        <v/>
      </c>
      <c r="I40" t="str">
        <f>IF(ISNUMBER(Sheet4!J40),ROUND(Sheet4!J40,1),IF(B40="Σύνολα",SUMIF(B$1:B$200,Sheet6!K39,I$1:I$200),""))</f>
        <v/>
      </c>
      <c r="J40" t="str">
        <f>IF(LEFT(A40,3)="TK-",VLOOKUP(A40,Sheet3!A:D,4,FALSE),IF(B40="Σύνολα",SUMIF(B$1:B$200,Sheet6!K39,J$1:J$200),""))</f>
        <v/>
      </c>
      <c r="K40" t="str">
        <f>IF(B40="Σύνολα",SUMIF(B$1:B$200,Sheet6!K39,K$1:K$200),IF(ISNUMBER(E40),IF(E40&gt;J40,ROUND((E40-J40),1),""),""))</f>
        <v/>
      </c>
      <c r="L40" s="6" t="str">
        <f>IF(ISNUMBER(Sheet4!J40),IF(AND(ISNUMBER(H40),H40&gt;0,I40&gt;0),ROUNDDOWN(H40/I40,0),""),"")</f>
        <v/>
      </c>
      <c r="M40" s="6" t="str">
        <f>IF(AND(ISNUMBER(Sheet4!J40),ISNUMBER(K40)),IF(I40&lt;0,ROUNDDOWN(K40/I40,0),""),"")</f>
        <v/>
      </c>
      <c r="N40" s="29" t="str">
        <f>IF(ISNUMBER(Sheet4!H40),Sheet4!H40/1000,"")</f>
        <v/>
      </c>
    </row>
    <row r="41" spans="1:14" ht="12.75" customHeight="1" x14ac:dyDescent="0.2">
      <c r="A41" t="str">
        <f>IF(OR(Sheet4!C41="?",ISNUMBER(Sheet4!C41)),Sheet4!A41,IF(B41="Σύνολα",B40,""))</f>
        <v/>
      </c>
      <c r="B41" s="94" t="str">
        <f>IF(OR(Sheet4!D41="?",ISNUMBER(Sheet4!D41)),MID(Sheet4!B41,4,20),IF(Sheet4!B41="________________","Σύνολα",IF(MID(Sheet4!B40,4,20)="Ballast","Σύνολα","")))</f>
        <v/>
      </c>
      <c r="C41" t="str">
        <f>IF(LEFT(A41,3)="TK-",VLOOKUP(A41,Sheet3!A:B,2,FALSE),IF(B41="Σύνολα",SUMIF(B$1:B$200,Sheet6!K40,C$1:C$200),""))</f>
        <v/>
      </c>
      <c r="D41" t="str">
        <f>IF(LEFT(A41,3)="TK-",VLOOKUP(A41,Sheet3!A:C,3,FALSE),"")</f>
        <v/>
      </c>
      <c r="E41" t="str">
        <f>IF(ISNUMBER(Sheet4!D41),ROUND(Sheet4!D41,1),IF(B41="Σύνολα",SUMIF(B$1:B$200,Sheet6!K40,E$1:E$200),""))</f>
        <v/>
      </c>
      <c r="F41" s="31" t="str">
        <f>IF(ISNUMBER(Sheet4!E41),Sheet4!E41,"")</f>
        <v/>
      </c>
      <c r="G41" t="str">
        <f>IF(ISNUMBER(Sheet4!G41),ROUND(Sheet4!G41,1),IF(B41="Σύνολα",SUMIF(B$1:B$200,Sheet6!K40,G$1:G$200),""))</f>
        <v/>
      </c>
      <c r="H41" t="str">
        <f>IF(ISNUMBER(Sheet4!F41),ROUND(Sheet4!F41,1),IF(B41="Σύνολα",SUMIF(B$1:B$200,Sheet6!K40,H$1:H$200),""))</f>
        <v/>
      </c>
      <c r="I41" t="str">
        <f>IF(ISNUMBER(Sheet4!J41),ROUND(Sheet4!J41,1),IF(B41="Σύνολα",SUMIF(B$1:B$200,Sheet6!K40,I$1:I$200),""))</f>
        <v/>
      </c>
      <c r="J41" t="str">
        <f>IF(LEFT(A41,3)="TK-",VLOOKUP(A41,Sheet3!A:D,4,FALSE),IF(B41="Σύνολα",SUMIF(B$1:B$200,Sheet6!K40,J$1:J$200),""))</f>
        <v/>
      </c>
      <c r="K41" t="str">
        <f>IF(B41="Σύνολα",SUMIF(B$1:B$200,Sheet6!K40,K$1:K$200),IF(ISNUMBER(E41),IF(E41&gt;J41,ROUND((E41-J41),1),""),""))</f>
        <v/>
      </c>
      <c r="L41" s="6" t="str">
        <f>IF(ISNUMBER(Sheet4!J41),IF(AND(ISNUMBER(H41),H41&gt;0,I41&gt;0),ROUNDDOWN(H41/I41,0),""),"")</f>
        <v/>
      </c>
      <c r="M41" s="6" t="str">
        <f>IF(AND(ISNUMBER(Sheet4!J41),ISNUMBER(K41)),IF(I41&lt;0,ROUNDDOWN(K41/I41,0),""),"")</f>
        <v/>
      </c>
      <c r="N41" s="29" t="str">
        <f>IF(ISNUMBER(Sheet4!H41),Sheet4!H41/1000,"")</f>
        <v/>
      </c>
    </row>
    <row r="42" spans="1:14" ht="12.75" customHeight="1" x14ac:dyDescent="0.2">
      <c r="A42" t="str">
        <f>IF(OR(Sheet4!C42="?",ISNUMBER(Sheet4!C42)),Sheet4!A42,IF(B42="Σύνολα",B41,""))</f>
        <v>TK-814</v>
      </c>
      <c r="B42" s="94" t="str">
        <f>IF(OR(Sheet4!D42="?",ISNUMBER(Sheet4!D42)),MID(Sheet4!B42,4,20),IF(Sheet4!B42="________________","Σύνολα",IF(MID(Sheet4!B41,4,20)="Ballast","Σύνολα","")))</f>
        <v>Unleaded 95</v>
      </c>
      <c r="C42">
        <f>IF(LEFT(A42,3)="TK-",VLOOKUP(A42,Sheet3!A:B,2,FALSE),IF(B42="Σύνολα",SUMIF(B$1:B$200,Sheet6!K41,C$1:C$200),""))</f>
        <v>6178</v>
      </c>
      <c r="D42" t="str">
        <f>IF(LEFT(A42,3)="TK-",VLOOKUP(A42,Sheet3!A:C,3,FALSE),"")</f>
        <v>456 + 75</v>
      </c>
      <c r="E42">
        <f>IF(ISNUMBER(Sheet4!D42),ROUND(Sheet4!D42,1),IF(B42="Σύνολα",SUMIF(B$1:B$200,Sheet6!K41,E$1:E$200),""))</f>
        <v>691.7</v>
      </c>
      <c r="F42" s="31">
        <f>IF(ISNUMBER(Sheet4!E42),Sheet4!E42,"")</f>
        <v>20.100000000000001</v>
      </c>
      <c r="G42">
        <f>IF(ISNUMBER(Sheet4!G42),ROUND(Sheet4!G42,1),IF(B42="Σύνολα",SUMIF(B$1:B$200,Sheet6!K41,G$1:G$200),""))</f>
        <v>687.4</v>
      </c>
      <c r="H42">
        <f>IF(ISNUMBER(Sheet4!F42),ROUND(Sheet4!F42,1),IF(B42="Σύνολα",SUMIF(B$1:B$200,Sheet6!K41,H$1:H$200),""))</f>
        <v>5435.3</v>
      </c>
      <c r="I42">
        <f>IF(ISNUMBER(Sheet4!J42),ROUND(Sheet4!J42,1),IF(B42="Σύνολα",SUMIF(B$1:B$200,Sheet6!K41,I$1:I$200),""))</f>
        <v>268.8</v>
      </c>
      <c r="J42">
        <f>IF(LEFT(A42,3)="TK-",VLOOKUP(A42,Sheet3!A:D,4,FALSE),IF(B42="Σύνολα",SUMIF(B$1:B$200,Sheet6!K41,J$1:J$200),""))</f>
        <v>450</v>
      </c>
      <c r="K42">
        <f>IF(B42="Σύνολα",SUMIF(B$1:B$200,Sheet6!K41,K$1:K$200),IF(ISNUMBER(E42),IF(E42&gt;J42,ROUND((E42-J42),1),""),""))</f>
        <v>241.7</v>
      </c>
      <c r="L42" s="6">
        <f>IF(ISNUMBER(Sheet4!J42),IF(AND(ISNUMBER(H42),H42&gt;0,I42&gt;0),ROUNDDOWN(H42/I42,0),""),"")</f>
        <v>20</v>
      </c>
      <c r="M42" s="6" t="str">
        <f>IF(AND(ISNUMBER(Sheet4!J42),ISNUMBER(K42)),IF(I42&lt;0,ROUNDDOWN(K42/I42,0),""),"")</f>
        <v/>
      </c>
      <c r="N42" s="29">
        <f>IF(ISNUMBER(Sheet4!H42),Sheet4!H42/1000,"")</f>
        <v>0.73909999999999998</v>
      </c>
    </row>
    <row r="43" spans="1:14" ht="12.75" customHeight="1" x14ac:dyDescent="0.2">
      <c r="A43" t="str">
        <f>IF(OR(Sheet4!C43="?",ISNUMBER(Sheet4!C43)),Sheet4!A43,IF(B43="Σύνολα",B42,""))</f>
        <v>TK-815</v>
      </c>
      <c r="B43" s="94" t="str">
        <f>IF(OR(Sheet4!D43="?",ISNUMBER(Sheet4!D43)),MID(Sheet4!B43,4,20),IF(Sheet4!B43="________________","Σύνολα",IF(MID(Sheet4!B42,4,20)="Ballast","Σύνολα","")))</f>
        <v>Unleaded 95</v>
      </c>
      <c r="C43">
        <f>IF(LEFT(A43,3)="TK-",VLOOKUP(A43,Sheet3!A:B,2,FALSE),IF(B43="Σύνολα",SUMIF(B$1:B$200,Sheet6!K42,C$1:C$200),""))</f>
        <v>6190</v>
      </c>
      <c r="D43" t="str">
        <f>IF(LEFT(A43,3)="TK-",VLOOKUP(A43,Sheet3!A:C,3,FALSE),"")</f>
        <v>456 + 85</v>
      </c>
      <c r="E43">
        <f>IF(ISNUMBER(Sheet4!D43),ROUND(Sheet4!D43,1),IF(B43="Σύνολα",SUMIF(B$1:B$200,Sheet6!K42,E$1:E$200),""))</f>
        <v>2918.2</v>
      </c>
      <c r="F43" s="31">
        <f>IF(ISNUMBER(Sheet4!E43),Sheet4!E43,"")</f>
        <v>11.7</v>
      </c>
      <c r="G43">
        <f>IF(ISNUMBER(Sheet4!G43),ROUND(Sheet4!G43,1),IF(B43="Σύνολα",SUMIF(B$1:B$200,Sheet6!K42,G$1:G$200),""))</f>
        <v>2879.3</v>
      </c>
      <c r="H43">
        <f>IF(ISNUMBER(Sheet4!F43),ROUND(Sheet4!F43,1),IF(B43="Σύνολα",SUMIF(B$1:B$200,Sheet6!K42,H$1:H$200),""))</f>
        <v>3220.3</v>
      </c>
      <c r="I43">
        <f>IF(ISNUMBER(Sheet4!J43),ROUND(Sheet4!J43,1),IF(B43="Σύνολα",SUMIF(B$1:B$200,Sheet6!K42,I$1:I$200),""))</f>
        <v>-364.3</v>
      </c>
      <c r="J43">
        <f>IF(LEFT(A43,3)="TK-",VLOOKUP(A43,Sheet3!A:D,4,FALSE),IF(B43="Σύνολα",SUMIF(B$1:B$200,Sheet6!K42,J$1:J$200),""))</f>
        <v>450</v>
      </c>
      <c r="K43">
        <f>IF(B43="Σύνολα",SUMIF(B$1:B$200,Sheet6!K42,K$1:K$200),IF(ISNUMBER(E43),IF(E43&gt;J43,ROUND((E43-J43),1),""),""))</f>
        <v>2468.1999999999998</v>
      </c>
      <c r="L43" s="6" t="str">
        <f>IF(ISNUMBER(Sheet4!J43),IF(AND(ISNUMBER(H43),H43&gt;0,I43&gt;0),ROUNDDOWN(H43/I43,0),""),"")</f>
        <v/>
      </c>
      <c r="M43" s="6">
        <f>IF(AND(ISNUMBER(Sheet4!J43),ISNUMBER(K43)),IF(I43&lt;0,ROUNDDOWN(K43/I43,0),""),"")</f>
        <v>-6</v>
      </c>
      <c r="N43" s="29">
        <f>IF(ISNUMBER(Sheet4!H43),Sheet4!H43/1000,"")</f>
        <v>0.7397999999999999</v>
      </c>
    </row>
    <row r="44" spans="1:14" ht="12.75" customHeight="1" x14ac:dyDescent="0.2">
      <c r="A44" t="str">
        <f>IF(OR(Sheet4!C44="?",ISNUMBER(Sheet4!C44)),Sheet4!A44,IF(B44="Σύνολα",B43,""))</f>
        <v>TK-847</v>
      </c>
      <c r="B44" s="94" t="str">
        <f>IF(OR(Sheet4!D44="?",ISNUMBER(Sheet4!D44)),MID(Sheet4!B44,4,20),IF(Sheet4!B44="________________","Σύνολα",IF(MID(Sheet4!B43,4,20)="Ballast","Σύνολα","")))</f>
        <v>Unleaded 95</v>
      </c>
      <c r="C44">
        <f>IF(LEFT(A44,3)="TK-",VLOOKUP(A44,Sheet3!A:B,2,FALSE),IF(B44="Σύνολα",SUMIF(B$1:B$200,Sheet6!K43,C$1:C$200),""))</f>
        <v>18351</v>
      </c>
      <c r="D44" t="str">
        <f>IF(LEFT(A44,3)="TK-",VLOOKUP(A44,Sheet3!A:C,3,FALSE),"")</f>
        <v>1321+ 370</v>
      </c>
      <c r="E44">
        <f>IF(ISNUMBER(Sheet4!D44),ROUND(Sheet4!D44,1),IF(B44="Σύνολα",SUMIF(B$1:B$200,Sheet6!K43,E$1:E$200),""))</f>
        <v>3619</v>
      </c>
      <c r="F44" s="31">
        <f>IF(ISNUMBER(Sheet4!E44),Sheet4!E44,"")</f>
        <v>14.7</v>
      </c>
      <c r="G44">
        <f>IF(ISNUMBER(Sheet4!G44),ROUND(Sheet4!G44,1),IF(B44="Σύνολα",SUMIF(B$1:B$200,Sheet6!K43,G$1:G$200),""))</f>
        <v>3620.1</v>
      </c>
      <c r="H44">
        <f>IF(ISNUMBER(Sheet4!F44),ROUND(Sheet4!F44,1),IF(B44="Σύνολα",SUMIF(B$1:B$200,Sheet6!K43,H$1:H$200),""))</f>
        <v>14620.4</v>
      </c>
      <c r="I44">
        <f>IF(ISNUMBER(Sheet4!J44),ROUND(Sheet4!J44,1),IF(B44="Σύνολα",SUMIF(B$1:B$200,Sheet6!K43,I$1:I$200),""))</f>
        <v>1220.8</v>
      </c>
      <c r="J44">
        <f>IF(LEFT(A44,3)="TK-",VLOOKUP(A44,Sheet3!A:D,4,FALSE),IF(B44="Σύνολα",SUMIF(B$1:B$200,Sheet6!K43,J$1:J$200),""))</f>
        <v>1430</v>
      </c>
      <c r="K44">
        <f>IF(B44="Σύνολα",SUMIF(B$1:B$200,Sheet6!K43,K$1:K$200),IF(ISNUMBER(E44),IF(E44&gt;J44,ROUND((E44-J44),1),""),""))</f>
        <v>2189</v>
      </c>
      <c r="L44" s="6">
        <f>IF(ISNUMBER(Sheet4!J44),IF(AND(ISNUMBER(H44),H44&gt;0,I44&gt;0),ROUNDDOWN(H44/I44,0),""),"")</f>
        <v>11</v>
      </c>
      <c r="M44" s="6" t="str">
        <f>IF(AND(ISNUMBER(Sheet4!J44),ISNUMBER(K44)),IF(I44&lt;0,ROUNDDOWN(K44/I44,0),""),"")</f>
        <v/>
      </c>
      <c r="N44" s="29">
        <f>IF(ISNUMBER(Sheet4!H44),Sheet4!H44/1000,"")</f>
        <v>0.747</v>
      </c>
    </row>
    <row r="45" spans="1:14" ht="12.75" customHeight="1" x14ac:dyDescent="0.2">
      <c r="A45" t="str">
        <f>IF(OR(Sheet4!C45="?",ISNUMBER(Sheet4!C45)),Sheet4!A45,IF(B45="Σύνολα",B44,""))</f>
        <v>TK-858</v>
      </c>
      <c r="B45" s="94" t="str">
        <f>IF(OR(Sheet4!D45="?",ISNUMBER(Sheet4!D45)),MID(Sheet4!B45,4,20),IF(Sheet4!B45="________________","Σύνολα",IF(MID(Sheet4!B44,4,20)="Ballast","Σύνολα","")))</f>
        <v>Unleaded 95</v>
      </c>
      <c r="C45">
        <f>IF(LEFT(A45,3)="TK-",VLOOKUP(A45,Sheet3!A:B,2,FALSE),IF(B45="Σύνολα",SUMIF(B$1:B$200,Sheet6!K44,C$1:C$200),""))</f>
        <v>23600</v>
      </c>
      <c r="D45" t="str">
        <f>IF(LEFT(A45,3)="TK-",VLOOKUP(A45,Sheet3!A:C,3,FALSE),"")</f>
        <v>1639+ 339</v>
      </c>
      <c r="E45">
        <f>IF(ISNUMBER(Sheet4!D45),ROUND(Sheet4!D45,1),IF(B45="Σύνολα",SUMIF(B$1:B$200,Sheet6!K44,E$1:E$200),""))</f>
        <v>5516.6</v>
      </c>
      <c r="F45" s="31">
        <f>IF(ISNUMBER(Sheet4!E45),Sheet4!E45,"")</f>
        <v>17.399999999999999</v>
      </c>
      <c r="G45">
        <f>IF(ISNUMBER(Sheet4!G45),ROUND(Sheet4!G45,1),IF(B45="Σύνολα",SUMIF(B$1:B$200,Sheet6!K44,G$1:G$200),""))</f>
        <v>5542.5</v>
      </c>
      <c r="H45">
        <f>IF(ISNUMBER(Sheet4!F45),ROUND(Sheet4!F45,1),IF(B45="Σύνολα",SUMIF(B$1:B$200,Sheet6!K44,H$1:H$200),""))</f>
        <v>17887.3</v>
      </c>
      <c r="I45">
        <f>IF(ISNUMBER(Sheet4!J45),ROUND(Sheet4!J45,1),IF(B45="Σύνολα",SUMIF(B$1:B$200,Sheet6!K44,I$1:I$200),""))</f>
        <v>-263.60000000000002</v>
      </c>
      <c r="J45">
        <f>IF(LEFT(A45,3)="TK-",VLOOKUP(A45,Sheet3!A:D,4,FALSE),IF(B45="Σύνολα",SUMIF(B$1:B$200,Sheet6!K44,J$1:J$200),""))</f>
        <v>1470</v>
      </c>
      <c r="K45">
        <f>IF(B45="Σύνολα",SUMIF(B$1:B$200,Sheet6!K44,K$1:K$200),IF(ISNUMBER(E45),IF(E45&gt;J45,ROUND((E45-J45),1),""),""))</f>
        <v>4046.6</v>
      </c>
      <c r="L45" s="6" t="str">
        <f>IF(ISNUMBER(Sheet4!J45),IF(AND(ISNUMBER(H45),H45&gt;0,I45&gt;0),ROUNDDOWN(H45/I45,0),""),"")</f>
        <v/>
      </c>
      <c r="M45" s="6">
        <f>IF(AND(ISNUMBER(Sheet4!J45),ISNUMBER(K45)),IF(I45&lt;0,ROUNDDOWN(K45/I45,0),""),"")</f>
        <v>-15</v>
      </c>
      <c r="N45" s="29">
        <f>IF(ISNUMBER(Sheet4!H45),Sheet4!H45/1000,"")</f>
        <v>0.73450000000000004</v>
      </c>
    </row>
    <row r="46" spans="1:14" ht="12.75" customHeight="1" x14ac:dyDescent="0.2">
      <c r="A46" t="str">
        <f>IF(OR(Sheet4!C46="?",ISNUMBER(Sheet4!C46)),Sheet4!A46,IF(B46="Σύνολα",B45,""))</f>
        <v>TK-1072</v>
      </c>
      <c r="B46" s="94" t="str">
        <f>IF(OR(Sheet4!D46="?",ISNUMBER(Sheet4!D46)),MID(Sheet4!B46,4,20),IF(Sheet4!B46="________________","Σύνολα",IF(MID(Sheet4!B45,4,20)="Ballast","Σύνολα","")))</f>
        <v>Unleaded 95</v>
      </c>
      <c r="C46">
        <f>IF(LEFT(A46,3)="TK-",VLOOKUP(A46,Sheet3!A:B,2,FALSE),IF(B46="Σύνολα",SUMIF(B$1:B$200,Sheet6!K45,C$1:C$200),""))</f>
        <v>1547</v>
      </c>
      <c r="D46" t="str">
        <f>IF(LEFT(A46,3)="TK-",VLOOKUP(A46,Sheet3!A:C,3,FALSE),"")</f>
        <v>141 + 20</v>
      </c>
      <c r="E46">
        <f>IF(ISNUMBER(Sheet4!D46),ROUND(Sheet4!D46,1),IF(B46="Σύνολα",SUMIF(B$1:B$200,Sheet6!K45,E$1:E$200),""))</f>
        <v>606</v>
      </c>
      <c r="F46" s="31">
        <f>IF(ISNUMBER(Sheet4!E46),Sheet4!E46,"")</f>
        <v>12.3</v>
      </c>
      <c r="G46">
        <f>IF(ISNUMBER(Sheet4!G46),ROUND(Sheet4!G46,1),IF(B46="Σύνολα",SUMIF(B$1:B$200,Sheet6!K45,G$1:G$200),""))</f>
        <v>603.20000000000005</v>
      </c>
      <c r="H46">
        <f>IF(ISNUMBER(Sheet4!F46),ROUND(Sheet4!F46,1),IF(B46="Σύνολα",SUMIF(B$1:B$200,Sheet6!K45,H$1:H$200),""))</f>
        <v>913.5</v>
      </c>
      <c r="I46">
        <f>IF(ISNUMBER(Sheet4!J46),ROUND(Sheet4!J46,1),IF(B46="Σύνολα",SUMIF(B$1:B$200,Sheet6!K45,I$1:I$200),""))</f>
        <v>1</v>
      </c>
      <c r="J46">
        <f>IF(LEFT(A46,3)="TK-",VLOOKUP(A46,Sheet3!A:D,4,FALSE),IF(B46="Σύνολα",SUMIF(B$1:B$200,Sheet6!K45,J$1:J$200),""))</f>
        <v>90</v>
      </c>
      <c r="K46">
        <f>IF(B46="Σύνολα",SUMIF(B$1:B$200,Sheet6!K45,K$1:K$200),IF(ISNUMBER(E46),IF(E46&gt;J46,ROUND((E46-J46),1),""),""))</f>
        <v>516</v>
      </c>
      <c r="L46" s="6">
        <f>IF(ISNUMBER(Sheet4!J46),IF(AND(ISNUMBER(H46),H46&gt;0,I46&gt;0),ROUNDDOWN(H46/I46,0),""),"")</f>
        <v>913</v>
      </c>
      <c r="M46" s="6" t="str">
        <f>IF(AND(ISNUMBER(Sheet4!J46),ISNUMBER(K46)),IF(I46&lt;0,ROUNDDOWN(K46/I46,0),""),"")</f>
        <v/>
      </c>
      <c r="N46" s="29">
        <f>IF(ISNUMBER(Sheet4!H46),Sheet4!H46/1000,"")</f>
        <v>0.7429</v>
      </c>
    </row>
    <row r="47" spans="1:14" ht="12.75" customHeight="1" x14ac:dyDescent="0.2">
      <c r="A47" t="str">
        <f>IF(OR(Sheet4!C47="?",ISNUMBER(Sheet4!C47)),Sheet4!A47,IF(B47="Σύνολα",B46,""))</f>
        <v>TK-1073</v>
      </c>
      <c r="B47" s="94" t="str">
        <f>IF(OR(Sheet4!D47="?",ISNUMBER(Sheet4!D47)),MID(Sheet4!B47,4,20),IF(Sheet4!B47="________________","Σύνολα",IF(MID(Sheet4!B46,4,20)="Ballast","Σύνολα","")))</f>
        <v>Unleaded 95</v>
      </c>
      <c r="C47">
        <f>IF(LEFT(A47,3)="TK-",VLOOKUP(A47,Sheet3!A:B,2,FALSE),IF(B47="Σύνολα",SUMIF(B$1:B$200,Sheet6!K46,C$1:C$200),""))</f>
        <v>1841</v>
      </c>
      <c r="D47" t="str">
        <f>IF(LEFT(A47,3)="TK-",VLOOKUP(A47,Sheet3!A:C,3,FALSE),"")</f>
        <v>168 + 22</v>
      </c>
      <c r="E47">
        <f>IF(ISNUMBER(Sheet4!D47),ROUND(Sheet4!D47,1),IF(B47="Σύνολα",SUMIF(B$1:B$200,Sheet6!K46,E$1:E$200),""))</f>
        <v>336.2</v>
      </c>
      <c r="F47" s="31">
        <f>IF(ISNUMBER(Sheet4!E47),Sheet4!E47,"")</f>
        <v>15.6</v>
      </c>
      <c r="G47">
        <f>IF(ISNUMBER(Sheet4!G47),ROUND(Sheet4!G47,1),IF(B47="Σύνολα",SUMIF(B$1:B$200,Sheet6!K46,G$1:G$200),""))</f>
        <v>334.3</v>
      </c>
      <c r="H47">
        <f>IF(ISNUMBER(Sheet4!F47),ROUND(Sheet4!F47,1),IF(B47="Σύνολα",SUMIF(B$1:B$200,Sheet6!K46,H$1:H$200),""))</f>
        <v>1473.4</v>
      </c>
      <c r="I47">
        <f>IF(ISNUMBER(Sheet4!J47),ROUND(Sheet4!J47,1),IF(B47="Σύνολα",SUMIF(B$1:B$200,Sheet6!K46,I$1:I$200),""))</f>
        <v>190.2</v>
      </c>
      <c r="J47">
        <f>IF(LEFT(A47,3)="TK-",VLOOKUP(A47,Sheet3!A:D,4,FALSE),IF(B47="Σύνολα",SUMIF(B$1:B$200,Sheet6!K46,J$1:J$200),""))</f>
        <v>100</v>
      </c>
      <c r="K47">
        <f>IF(B47="Σύνολα",SUMIF(B$1:B$200,Sheet6!K46,K$1:K$200),IF(ISNUMBER(E47),IF(E47&gt;J47,ROUND((E47-J47),1),""),""))</f>
        <v>236.2</v>
      </c>
      <c r="L47" s="6">
        <f>IF(ISNUMBER(Sheet4!J47),IF(AND(ISNUMBER(H47),H47&gt;0,I47&gt;0),ROUNDDOWN(H47/I47,0),""),"")</f>
        <v>7</v>
      </c>
      <c r="M47" s="6" t="str">
        <f>IF(AND(ISNUMBER(Sheet4!J47),ISNUMBER(K47)),IF(I47&lt;0,ROUNDDOWN(K47/I47,0),""),"")</f>
        <v/>
      </c>
      <c r="N47" s="29">
        <f>IF(ISNUMBER(Sheet4!H47),Sheet4!H47/1000,"")</f>
        <v>0.74160000000000004</v>
      </c>
    </row>
    <row r="48" spans="1:14" ht="12.75" customHeight="1" x14ac:dyDescent="0.2">
      <c r="A48" t="str">
        <f>IF(OR(Sheet4!C48="?",ISNUMBER(Sheet4!C48)),Sheet4!A48,IF(B48="Σύνολα",B47,""))</f>
        <v>Unleaded 95</v>
      </c>
      <c r="B48" s="94" t="str">
        <f>IF(OR(Sheet4!D48="?",ISNUMBER(Sheet4!D48)),MID(Sheet4!B48,4,20),IF(Sheet4!B48="________________","Σύνολα",IF(MID(Sheet4!B47,4,20)="Ballast","Σύνολα","")))</f>
        <v>Σύνολα</v>
      </c>
      <c r="C48">
        <f>IF(LEFT(A48,3)="TK-",VLOOKUP(A48,Sheet3!A:B,2,FALSE),IF(B48="Σύνολα",SUMIF(B$1:B$200,Sheet6!K47,C$1:C$200),""))</f>
        <v>57707</v>
      </c>
      <c r="D48" t="str">
        <f>IF(LEFT(A48,3)="TK-",VLOOKUP(A48,Sheet3!A:C,3,FALSE),"")</f>
        <v/>
      </c>
      <c r="E48">
        <f>IF(ISNUMBER(Sheet4!D48),ROUND(Sheet4!D48,1),IF(B48="Σύνολα",SUMIF(B$1:B$200,Sheet6!K47,E$1:E$200),""))</f>
        <v>13687.7</v>
      </c>
      <c r="F48" s="31" t="str">
        <f>IF(ISNUMBER(Sheet4!E48),Sheet4!E48,"")</f>
        <v/>
      </c>
      <c r="G48">
        <f>IF(ISNUMBER(Sheet4!G48),ROUND(Sheet4!G48,1),IF(B48="Σύνολα",SUMIF(B$1:B$200,Sheet6!K47,G$1:G$200),""))</f>
        <v>13666.8</v>
      </c>
      <c r="H48">
        <f>IF(ISNUMBER(Sheet4!F48),ROUND(Sheet4!F48,1),IF(B48="Σύνολα",SUMIF(B$1:B$200,Sheet6!K47,H$1:H$200),""))</f>
        <v>43550.200000000004</v>
      </c>
      <c r="I48">
        <f>IF(ISNUMBER(Sheet4!J48),ROUND(Sheet4!J48,1),IF(B48="Σύνολα",SUMIF(B$1:B$200,Sheet6!K47,I$1:I$200),""))</f>
        <v>1052.8999999999999</v>
      </c>
      <c r="J48">
        <f>IF(LEFT(A48,3)="TK-",VLOOKUP(A48,Sheet3!A:D,4,FALSE),IF(B48="Σύνολα",SUMIF(B$1:B$200,Sheet6!K47,J$1:J$200),""))</f>
        <v>3990</v>
      </c>
      <c r="K48">
        <f>IF(B48="Σύνολα",SUMIF(B$1:B$200,Sheet6!K47,K$1:K$200),IF(ISNUMBER(E48),IF(E48&gt;J48,ROUND((E48-J48),1),""),""))</f>
        <v>9697.7000000000007</v>
      </c>
      <c r="L48" s="6" t="str">
        <f>IF(ISNUMBER(Sheet4!J48),IF(AND(ISNUMBER(H48),H48&gt;0,I48&gt;0),ROUNDDOWN(H48/I48,0),""),"")</f>
        <v/>
      </c>
      <c r="M48" s="6" t="str">
        <f>IF(AND(ISNUMBER(Sheet4!J48),ISNUMBER(K48)),IF(I48&lt;0,ROUNDDOWN(K48/I48,0),""),"")</f>
        <v/>
      </c>
      <c r="N48" s="29" t="str">
        <f>IF(ISNUMBER(Sheet4!H48),Sheet4!H48/1000,"")</f>
        <v/>
      </c>
    </row>
    <row r="49" spans="1:14" ht="12.75" customHeight="1" x14ac:dyDescent="0.2">
      <c r="A49" t="str">
        <f>IF(OR(Sheet4!C49="?",ISNUMBER(Sheet4!C49)),Sheet4!A49,IF(B49="Σύνολα",B48,""))</f>
        <v/>
      </c>
      <c r="B49" s="94" t="str">
        <f>IF(OR(Sheet4!D49="?",ISNUMBER(Sheet4!D49)),MID(Sheet4!B49,4,20),IF(Sheet4!B49="________________","Σύνολα",IF(MID(Sheet4!B48,4,20)="Ballast","Σύνολα","")))</f>
        <v/>
      </c>
      <c r="C49" t="str">
        <f>IF(LEFT(A49,3)="TK-",VLOOKUP(A49,Sheet3!A:B,2,FALSE),IF(B49="Σύνολα",SUMIF(B$1:B$200,Sheet6!K48,C$1:C$200),""))</f>
        <v/>
      </c>
      <c r="D49" t="str">
        <f>IF(LEFT(A49,3)="TK-",VLOOKUP(A49,Sheet3!A:C,3,FALSE),"")</f>
        <v/>
      </c>
      <c r="E49" t="str">
        <f>IF(ISNUMBER(Sheet4!D49),ROUND(Sheet4!D49,1),IF(B49="Σύνολα",SUMIF(B$1:B$200,Sheet6!K48,E$1:E$200),""))</f>
        <v/>
      </c>
      <c r="F49" s="31" t="str">
        <f>IF(ISNUMBER(Sheet4!E49),Sheet4!E49,"")</f>
        <v/>
      </c>
      <c r="G49" t="str">
        <f>IF(ISNUMBER(Sheet4!G49),ROUND(Sheet4!G49,1),IF(B49="Σύνολα",SUMIF(B$1:B$200,Sheet6!K48,G$1:G$200),""))</f>
        <v/>
      </c>
      <c r="H49" t="str">
        <f>IF(ISNUMBER(Sheet4!F49),ROUND(Sheet4!F49,1),IF(B49="Σύνολα",SUMIF(B$1:B$200,Sheet6!K48,H$1:H$200),""))</f>
        <v/>
      </c>
      <c r="I49" t="str">
        <f>IF(ISNUMBER(Sheet4!J49),ROUND(Sheet4!J49,1),IF(B49="Σύνολα",SUMIF(B$1:B$200,Sheet6!K48,I$1:I$200),""))</f>
        <v/>
      </c>
      <c r="J49" t="str">
        <f>IF(LEFT(A49,3)="TK-",VLOOKUP(A49,Sheet3!A:D,4,FALSE),IF(B49="Σύνολα",SUMIF(B$1:B$200,Sheet6!K48,J$1:J$200),""))</f>
        <v/>
      </c>
      <c r="K49" t="str">
        <f>IF(B49="Σύνολα",SUMIF(B$1:B$200,Sheet6!K48,K$1:K$200),IF(ISNUMBER(E49),IF(E49&gt;J49,ROUND((E49-J49),1),""),""))</f>
        <v/>
      </c>
      <c r="L49" s="6" t="str">
        <f>IF(ISNUMBER(Sheet4!J49),IF(AND(ISNUMBER(H49),H49&gt;0,I49&gt;0),ROUNDDOWN(H49/I49,0),""),"")</f>
        <v/>
      </c>
      <c r="M49" s="6" t="str">
        <f>IF(AND(ISNUMBER(Sheet4!J49),ISNUMBER(K49)),IF(I49&lt;0,ROUNDDOWN(K49/I49,0),""),"")</f>
        <v/>
      </c>
      <c r="N49" s="29" t="str">
        <f>IF(ISNUMBER(Sheet4!H49),Sheet4!H49/1000,"")</f>
        <v/>
      </c>
    </row>
    <row r="50" spans="1:14" ht="12.75" customHeight="1" x14ac:dyDescent="0.2">
      <c r="A50" t="str">
        <f>IF(OR(Sheet4!C50="?",ISNUMBER(Sheet4!C50)),Sheet4!A50,IF(B50="Σύνολα",B49,""))</f>
        <v/>
      </c>
      <c r="B50" s="94" t="str">
        <f>IF(OR(Sheet4!D50="?",ISNUMBER(Sheet4!D50)),MID(Sheet4!B50,4,20),IF(Sheet4!B50="________________","Σύνολα",IF(MID(Sheet4!B49,4,20)="Ballast","Σύνολα","")))</f>
        <v/>
      </c>
      <c r="C50" t="str">
        <f>IF(LEFT(A50,3)="TK-",VLOOKUP(A50,Sheet3!A:B,2,FALSE),IF(B50="Σύνολα",SUMIF(B$1:B$200,Sheet6!K49,C$1:C$200),""))</f>
        <v/>
      </c>
      <c r="D50" t="str">
        <f>IF(LEFT(A50,3)="TK-",VLOOKUP(A50,Sheet3!A:C,3,FALSE),"")</f>
        <v/>
      </c>
      <c r="E50" t="str">
        <f>IF(ISNUMBER(Sheet4!D50),ROUND(Sheet4!D50,1),IF(B50="Σύνολα",SUMIF(B$1:B$200,Sheet6!K49,E$1:E$200),""))</f>
        <v/>
      </c>
      <c r="F50" s="31" t="str">
        <f>IF(ISNUMBER(Sheet4!E50),Sheet4!E50,"")</f>
        <v/>
      </c>
      <c r="G50" t="str">
        <f>IF(ISNUMBER(Sheet4!G50),ROUND(Sheet4!G50,1),IF(B50="Σύνολα",SUMIF(B$1:B$200,Sheet6!K49,G$1:G$200),""))</f>
        <v/>
      </c>
      <c r="H50" t="str">
        <f>IF(ISNUMBER(Sheet4!F50),ROUND(Sheet4!F50,1),IF(B50="Σύνολα",SUMIF(B$1:B$200,Sheet6!K49,H$1:H$200),""))</f>
        <v/>
      </c>
      <c r="I50" t="str">
        <f>IF(ISNUMBER(Sheet4!J50),ROUND(Sheet4!J50,1),IF(B50="Σύνολα",SUMIF(B$1:B$200,Sheet6!K49,I$1:I$200),""))</f>
        <v/>
      </c>
      <c r="J50" t="str">
        <f>IF(LEFT(A50,3)="TK-",VLOOKUP(A50,Sheet3!A:D,4,FALSE),IF(B50="Σύνολα",SUMIF(B$1:B$200,Sheet6!K49,J$1:J$200),""))</f>
        <v/>
      </c>
      <c r="K50" t="str">
        <f>IF(B50="Σύνολα",SUMIF(B$1:B$200,Sheet6!K49,K$1:K$200),IF(ISNUMBER(E50),IF(E50&gt;J50,ROUND((E50-J50),1),""),""))</f>
        <v/>
      </c>
      <c r="L50" s="6" t="str">
        <f>IF(ISNUMBER(Sheet4!J50),IF(AND(ISNUMBER(H50),H50&gt;0,I50&gt;0),ROUNDDOWN(H50/I50,0),""),"")</f>
        <v/>
      </c>
      <c r="M50" s="6" t="str">
        <f>IF(AND(ISNUMBER(Sheet4!J50),ISNUMBER(K50)),IF(I50&lt;0,ROUNDDOWN(K50/I50,0),""),"")</f>
        <v/>
      </c>
      <c r="N50" s="29" t="str">
        <f>IF(ISNUMBER(Sheet4!H50),Sheet4!H50/1000,"")</f>
        <v/>
      </c>
    </row>
    <row r="51" spans="1:14" ht="12.75" customHeight="1" x14ac:dyDescent="0.2">
      <c r="A51" t="str">
        <f>IF(OR(Sheet4!C51="?",ISNUMBER(Sheet4!C51)),Sheet4!A51,IF(B51="Σύνολα",B50,""))</f>
        <v>TK-808</v>
      </c>
      <c r="B51" s="94" t="str">
        <f>IF(OR(Sheet4!D51="?",ISNUMBER(Sheet4!D51)),MID(Sheet4!B51,4,20),IF(Sheet4!B51="________________","Σύνολα",IF(MID(Sheet4!B50,4,20)="Ballast","Σύνολα","")))</f>
        <v>Unleaded 98</v>
      </c>
      <c r="C51">
        <f>IF(LEFT(A51,3)="TK-",VLOOKUP(A51,Sheet3!A:B,2,FALSE),IF(B51="Σύνολα",SUMIF(B$1:B$200,Sheet6!K50,C$1:C$200),""))</f>
        <v>9784</v>
      </c>
      <c r="D51" t="str">
        <f>IF(LEFT(A51,3)="TK-",VLOOKUP(A51,Sheet3!A:C,3,FALSE),"")</f>
        <v>701 + 169</v>
      </c>
      <c r="E51">
        <f>IF(ISNUMBER(Sheet4!D51),ROUND(Sheet4!D51,1),IF(B51="Σύνολα",SUMIF(B$1:B$200,Sheet6!K50,E$1:E$200),""))</f>
        <v>4046.8</v>
      </c>
      <c r="F51" s="31">
        <f>IF(ISNUMBER(Sheet4!E51),Sheet4!E51,"")</f>
        <v>18</v>
      </c>
      <c r="G51">
        <f>IF(ISNUMBER(Sheet4!G51),ROUND(Sheet4!G51,1),IF(B51="Σύνολα",SUMIF(B$1:B$200,Sheet6!K50,G$1:G$200),""))</f>
        <v>4034.1</v>
      </c>
      <c r="H51">
        <f>IF(ISNUMBER(Sheet4!F51),ROUND(Sheet4!F51,1),IF(B51="Σύνολα",SUMIF(B$1:B$200,Sheet6!K50,H$1:H$200),""))</f>
        <v>5668.8</v>
      </c>
      <c r="I51">
        <f>IF(ISNUMBER(Sheet4!J51),ROUND(Sheet4!J51,1),IF(B51="Σύνολα",SUMIF(B$1:B$200,Sheet6!K50,I$1:I$200),""))</f>
        <v>8.4</v>
      </c>
      <c r="J51">
        <f>IF(LEFT(A51,3)="TK-",VLOOKUP(A51,Sheet3!A:D,4,FALSE),IF(B51="Σύνολα",SUMIF(B$1:B$200,Sheet6!K50,J$1:J$200),""))</f>
        <v>550</v>
      </c>
      <c r="K51">
        <f>IF(B51="Σύνολα",SUMIF(B$1:B$200,Sheet6!K50,K$1:K$200),IF(ISNUMBER(E51),IF(E51&gt;J51,ROUND((E51-J51),1),""),""))</f>
        <v>3496.8</v>
      </c>
      <c r="L51" s="6">
        <f>IF(ISNUMBER(Sheet4!J51),IF(AND(ISNUMBER(H51),H51&gt;0,I51&gt;0),ROUNDDOWN(H51/I51,0),""),"")</f>
        <v>674</v>
      </c>
      <c r="M51" s="6" t="str">
        <f>IF(AND(ISNUMBER(Sheet4!J51),ISNUMBER(K51)),IF(I51&lt;0,ROUNDDOWN(K51/I51,0),""),"")</f>
        <v/>
      </c>
      <c r="N51" s="29">
        <f>IF(ISNUMBER(Sheet4!H51),Sheet4!H51/1000,"")</f>
        <v>0.75870000000000004</v>
      </c>
    </row>
    <row r="52" spans="1:14" ht="12.75" customHeight="1" x14ac:dyDescent="0.2">
      <c r="A52" t="str">
        <f>IF(OR(Sheet4!C52="?",ISNUMBER(Sheet4!C52)),Sheet4!A52,IF(B52="Σύνολα",B51,""))</f>
        <v>Unleaded 98</v>
      </c>
      <c r="B52" s="94" t="str">
        <f>IF(OR(Sheet4!D52="?",ISNUMBER(Sheet4!D52)),MID(Sheet4!B52,4,20),IF(Sheet4!B52="________________","Σύνολα",IF(MID(Sheet4!B51,4,20)="Ballast","Σύνολα","")))</f>
        <v>Σύνολα</v>
      </c>
      <c r="C52">
        <f>IF(LEFT(A52,3)="TK-",VLOOKUP(A52,Sheet3!A:B,2,FALSE),IF(B52="Σύνολα",SUMIF(B$1:B$200,Sheet6!K51,C$1:C$200),""))</f>
        <v>9784</v>
      </c>
      <c r="D52" t="str">
        <f>IF(LEFT(A52,3)="TK-",VLOOKUP(A52,Sheet3!A:C,3,FALSE),"")</f>
        <v/>
      </c>
      <c r="E52">
        <f>IF(ISNUMBER(Sheet4!D52),ROUND(Sheet4!D52,1),IF(B52="Σύνολα",SUMIF(B$1:B$200,Sheet6!K51,E$1:E$200),""))</f>
        <v>4046.8</v>
      </c>
      <c r="F52" s="31" t="str">
        <f>IF(ISNUMBER(Sheet4!E52),Sheet4!E52,"")</f>
        <v/>
      </c>
      <c r="G52">
        <f>IF(ISNUMBER(Sheet4!G52),ROUND(Sheet4!G52,1),IF(B52="Σύνολα",SUMIF(B$1:B$200,Sheet6!K51,G$1:G$200),""))</f>
        <v>4034.1</v>
      </c>
      <c r="H52">
        <f>IF(ISNUMBER(Sheet4!F52),ROUND(Sheet4!F52,1),IF(B52="Σύνολα",SUMIF(B$1:B$200,Sheet6!K51,H$1:H$200),""))</f>
        <v>5668.8</v>
      </c>
      <c r="I52">
        <f>IF(ISNUMBER(Sheet4!J52),ROUND(Sheet4!J52,1),IF(B52="Σύνολα",SUMIF(B$1:B$200,Sheet6!K51,I$1:I$200),""))</f>
        <v>8.4</v>
      </c>
      <c r="J52">
        <f>IF(LEFT(A52,3)="TK-",VLOOKUP(A52,Sheet3!A:D,4,FALSE),IF(B52="Σύνολα",SUMIF(B$1:B$200,Sheet6!K51,J$1:J$200),""))</f>
        <v>550</v>
      </c>
      <c r="K52">
        <f>IF(B52="Σύνολα",SUMIF(B$1:B$200,Sheet6!K51,K$1:K$200),IF(ISNUMBER(E52),IF(E52&gt;J52,ROUND((E52-J52),1),""),""))</f>
        <v>3496.8</v>
      </c>
      <c r="L52" s="6" t="str">
        <f>IF(ISNUMBER(Sheet4!J52),IF(AND(ISNUMBER(H52),H52&gt;0,I52&gt;0),ROUNDDOWN(H52/I52,0),""),"")</f>
        <v/>
      </c>
      <c r="M52" s="6" t="str">
        <f>IF(AND(ISNUMBER(Sheet4!J52),ISNUMBER(K52)),IF(I52&lt;0,ROUNDDOWN(K52/I52,0),""),"")</f>
        <v/>
      </c>
      <c r="N52" s="29" t="str">
        <f>IF(ISNUMBER(Sheet4!H52),Sheet4!H52/1000,"")</f>
        <v/>
      </c>
    </row>
    <row r="53" spans="1:14" ht="12.75" customHeight="1" x14ac:dyDescent="0.2">
      <c r="A53" t="str">
        <f>IF(OR(Sheet4!C53="?",ISNUMBER(Sheet4!C53)),Sheet4!A53,IF(B53="Σύνολα",B52,""))</f>
        <v/>
      </c>
      <c r="B53" s="94" t="str">
        <f>IF(OR(Sheet4!D53="?",ISNUMBER(Sheet4!D53)),MID(Sheet4!B53,4,20),IF(Sheet4!B53="________________","Σύνολα",IF(MID(Sheet4!B52,4,20)="Ballast","Σύνολα","")))</f>
        <v/>
      </c>
      <c r="C53" t="str">
        <f>IF(LEFT(A53,3)="TK-",VLOOKUP(A53,Sheet3!A:B,2,FALSE),IF(B53="Σύνολα",SUMIF(B$1:B$200,Sheet6!K52,C$1:C$200),""))</f>
        <v/>
      </c>
      <c r="D53" t="str">
        <f>IF(LEFT(A53,3)="TK-",VLOOKUP(A53,Sheet3!A:C,3,FALSE),"")</f>
        <v/>
      </c>
      <c r="E53" t="str">
        <f>IF(ISNUMBER(Sheet4!D53),ROUND(Sheet4!D53,1),IF(B53="Σύνολα",SUMIF(B$1:B$200,Sheet6!K52,E$1:E$200),""))</f>
        <v/>
      </c>
      <c r="F53" s="31" t="str">
        <f>IF(ISNUMBER(Sheet4!E53),Sheet4!E53,"")</f>
        <v/>
      </c>
      <c r="G53" t="str">
        <f>IF(ISNUMBER(Sheet4!G53),ROUND(Sheet4!G53,1),IF(B53="Σύνολα",SUMIF(B$1:B$200,Sheet6!K52,G$1:G$200),""))</f>
        <v/>
      </c>
      <c r="H53" t="str">
        <f>IF(ISNUMBER(Sheet4!F53),ROUND(Sheet4!F53,1),IF(B53="Σύνολα",SUMIF(B$1:B$200,Sheet6!K52,H$1:H$200),""))</f>
        <v/>
      </c>
      <c r="I53" t="str">
        <f>IF(ISNUMBER(Sheet4!J53),ROUND(Sheet4!J53,1),IF(B53="Σύνολα",SUMIF(B$1:B$200,Sheet6!K52,I$1:I$200),""))</f>
        <v/>
      </c>
      <c r="J53" t="str">
        <f>IF(LEFT(A53,3)="TK-",VLOOKUP(A53,Sheet3!A:D,4,FALSE),IF(B53="Σύνολα",SUMIF(B$1:B$200,Sheet6!K52,J$1:J$200),""))</f>
        <v/>
      </c>
      <c r="K53" t="str">
        <f>IF(B53="Σύνολα",SUMIF(B$1:B$200,Sheet6!K52,K$1:K$200),IF(ISNUMBER(E53),IF(E53&gt;J53,ROUND((E53-J53),1),""),""))</f>
        <v/>
      </c>
      <c r="L53" s="6" t="str">
        <f>IF(ISNUMBER(Sheet4!J53),IF(AND(ISNUMBER(H53),H53&gt;0,I53&gt;0),ROUNDDOWN(H53/I53,0),""),"")</f>
        <v/>
      </c>
      <c r="M53" s="6" t="str">
        <f>IF(AND(ISNUMBER(Sheet4!J53),ISNUMBER(K53)),IF(I53&lt;0,ROUNDDOWN(K53/I53,0),""),"")</f>
        <v/>
      </c>
      <c r="N53" s="29" t="str">
        <f>IF(ISNUMBER(Sheet4!H53),Sheet4!H53/1000,"")</f>
        <v/>
      </c>
    </row>
    <row r="54" spans="1:14" ht="12.75" customHeight="1" x14ac:dyDescent="0.2">
      <c r="A54" t="str">
        <f>IF(OR(Sheet4!C54="?",ISNUMBER(Sheet4!C54)),Sheet4!A54,IF(B54="Σύνολα",B53,""))</f>
        <v/>
      </c>
      <c r="B54" s="94" t="str">
        <f>IF(OR(Sheet4!D54="?",ISNUMBER(Sheet4!D54)),MID(Sheet4!B54,4,20),IF(Sheet4!B54="________________","Σύνολα",IF(MID(Sheet4!B53,4,20)="Ballast","Σύνολα","")))</f>
        <v/>
      </c>
      <c r="C54" t="str">
        <f>IF(LEFT(A54,3)="TK-",VLOOKUP(A54,Sheet3!A:B,2,FALSE),IF(B54="Σύνολα",SUMIF(B$1:B$200,Sheet6!K53,C$1:C$200),""))</f>
        <v/>
      </c>
      <c r="D54" t="str">
        <f>IF(LEFT(A54,3)="TK-",VLOOKUP(A54,Sheet3!A:C,3,FALSE),"")</f>
        <v/>
      </c>
      <c r="E54" t="str">
        <f>IF(ISNUMBER(Sheet4!D54),ROUND(Sheet4!D54,1),IF(B54="Σύνολα",SUMIF(B$1:B$200,Sheet6!K53,E$1:E$200),""))</f>
        <v/>
      </c>
      <c r="F54" s="31" t="str">
        <f>IF(ISNUMBER(Sheet4!E54),Sheet4!E54,"")</f>
        <v/>
      </c>
      <c r="G54" t="str">
        <f>IF(ISNUMBER(Sheet4!G54),ROUND(Sheet4!G54,1),IF(B54="Σύνολα",SUMIF(B$1:B$200,Sheet6!K53,G$1:G$200),""))</f>
        <v/>
      </c>
      <c r="H54" t="str">
        <f>IF(ISNUMBER(Sheet4!F54),ROUND(Sheet4!F54,1),IF(B54="Σύνολα",SUMIF(B$1:B$200,Sheet6!K53,H$1:H$200),""))</f>
        <v/>
      </c>
      <c r="I54" t="str">
        <f>IF(ISNUMBER(Sheet4!J54),ROUND(Sheet4!J54,1),IF(B54="Σύνολα",SUMIF(B$1:B$200,Sheet6!K53,I$1:I$200),""))</f>
        <v/>
      </c>
      <c r="J54" t="str">
        <f>IF(LEFT(A54,3)="TK-",VLOOKUP(A54,Sheet3!A:D,4,FALSE),IF(B54="Σύνολα",SUMIF(B$1:B$200,Sheet6!K53,J$1:J$200),""))</f>
        <v/>
      </c>
      <c r="K54" t="str">
        <f>IF(B54="Σύνολα",SUMIF(B$1:B$200,Sheet6!K53,K$1:K$200),IF(ISNUMBER(E54),IF(E54&gt;J54,ROUND((E54-J54),1),""),""))</f>
        <v/>
      </c>
      <c r="L54" s="6" t="str">
        <f>IF(ISNUMBER(Sheet4!J54),IF(AND(ISNUMBER(H54),H54&gt;0,I54&gt;0),ROUNDDOWN(H54/I54,0),""),"")</f>
        <v/>
      </c>
      <c r="M54" s="6" t="str">
        <f>IF(AND(ISNUMBER(Sheet4!J54),ISNUMBER(K54)),IF(I54&lt;0,ROUNDDOWN(K54/I54,0),""),"")</f>
        <v/>
      </c>
      <c r="N54" s="29" t="str">
        <f>IF(ISNUMBER(Sheet4!H54),Sheet4!H54/1000,"")</f>
        <v/>
      </c>
    </row>
    <row r="55" spans="1:14" ht="12.75" customHeight="1" x14ac:dyDescent="0.2">
      <c r="A55" t="str">
        <f>IF(OR(Sheet4!C55="?",ISNUMBER(Sheet4!C55)),Sheet4!A55,IF(B55="Σύνολα",B54,""))</f>
        <v>TK-809</v>
      </c>
      <c r="B55" s="94" t="str">
        <f>IF(OR(Sheet4!D55="?",ISNUMBER(Sheet4!D55)),MID(Sheet4!B55,4,20),IF(Sheet4!B55="________________","Σύνολα",IF(MID(Sheet4!B54,4,20)="Ballast","Σύνολα","")))</f>
        <v>PF/Feed</v>
      </c>
      <c r="C55">
        <f>IF(LEFT(A55,3)="TK-",VLOOKUP(A55,Sheet3!A:B,2,FALSE),IF(B55="Σύνολα",SUMIF(B$1:B$200,Sheet6!K54,C$1:C$200),""))</f>
        <v>2545</v>
      </c>
      <c r="D55" t="str">
        <f>IF(LEFT(A55,3)="TK-",VLOOKUP(A55,Sheet3!A:C,3,FALSE),"")</f>
        <v>183 + 22</v>
      </c>
      <c r="E55">
        <f>IF(ISNUMBER(Sheet4!D55),ROUND(Sheet4!D55,1),IF(B55="Σύνολα",SUMIF(B$1:B$200,Sheet6!K54,E$1:E$200),""))</f>
        <v>595.9</v>
      </c>
      <c r="F55" s="31">
        <f>IF(ISNUMBER(Sheet4!E55),Sheet4!E55,"")</f>
        <v>12.7</v>
      </c>
      <c r="G55">
        <f>IF(ISNUMBER(Sheet4!G55),ROUND(Sheet4!G55,1),IF(B55="Σύνολα",SUMIF(B$1:B$200,Sheet6!K54,G$1:G$200),""))</f>
        <v>597.6</v>
      </c>
      <c r="H55">
        <f>IF(ISNUMBER(Sheet4!F55),ROUND(Sheet4!F55,1),IF(B55="Σύνολα",SUMIF(B$1:B$200,Sheet6!K54,H$1:H$200),""))</f>
        <v>1915.4</v>
      </c>
      <c r="I55">
        <f>IF(ISNUMBER(Sheet4!J55),ROUND(Sheet4!J55,1),IF(B55="Σύνολα",SUMIF(B$1:B$200,Sheet6!K54,I$1:I$200),""))</f>
        <v>-619.6</v>
      </c>
      <c r="J55">
        <f>IF(LEFT(A55,3)="TK-",VLOOKUP(A55,Sheet3!A:D,4,FALSE),IF(B55="Σύνολα",SUMIF(B$1:B$200,Sheet6!K54,J$1:J$200),""))</f>
        <v>200</v>
      </c>
      <c r="K55">
        <f>IF(B55="Σύνολα",SUMIF(B$1:B$200,Sheet6!K54,K$1:K$200),IF(ISNUMBER(E55),IF(E55&gt;J55,ROUND((E55-J55),1),""),""))</f>
        <v>395.9</v>
      </c>
      <c r="L55" s="6" t="str">
        <f>IF(ISNUMBER(Sheet4!J55),IF(AND(ISNUMBER(H55),H55&gt;0,I55&gt;0),ROUNDDOWN(H55/I55,0),""),"")</f>
        <v/>
      </c>
      <c r="M55" s="6">
        <f>IF(AND(ISNUMBER(Sheet4!J55),ISNUMBER(K55)),IF(I55&lt;0,ROUNDDOWN(K55/I55,0),""),"")</f>
        <v>0</v>
      </c>
      <c r="N55" s="29">
        <f>IF(ISNUMBER(Sheet4!H55),Sheet4!H55/1000,"")</f>
        <v>0.73870000000000002</v>
      </c>
    </row>
    <row r="56" spans="1:14" ht="12.75" customHeight="1" x14ac:dyDescent="0.2">
      <c r="A56" t="str">
        <f>IF(OR(Sheet4!C56="?",ISNUMBER(Sheet4!C56)),Sheet4!A56,IF(B56="Σύνολα",B55,""))</f>
        <v>TK-833</v>
      </c>
      <c r="B56" s="94" t="str">
        <f>IF(OR(Sheet4!D56="?",ISNUMBER(Sheet4!D56)),MID(Sheet4!B56,4,20),IF(Sheet4!B56="________________","Σύνολα",IF(MID(Sheet4!B55,4,20)="Ballast","Σύνολα","")))</f>
        <v>PF/Feed</v>
      </c>
      <c r="C56">
        <f>IF(LEFT(A56,3)="TK-",VLOOKUP(A56,Sheet3!A:B,2,FALSE),IF(B56="Σύνολα",SUMIF(B$1:B$200,Sheet6!K55,C$1:C$200),""))</f>
        <v>1189</v>
      </c>
      <c r="D56" t="str">
        <f>IF(LEFT(A56,3)="TK-",VLOOKUP(A56,Sheet3!A:C,3,FALSE),"")</f>
        <v>117 +  6</v>
      </c>
      <c r="E56">
        <f>IF(ISNUMBER(Sheet4!D56),ROUND(Sheet4!D56,1),IF(B56="Σύνολα",SUMIF(B$1:B$200,Sheet6!K55,E$1:E$200),""))</f>
        <v>724</v>
      </c>
      <c r="F56" s="31">
        <f>IF(ISNUMBER(Sheet4!E56),Sheet4!E56,"")</f>
        <v>13.1</v>
      </c>
      <c r="G56">
        <f>IF(ISNUMBER(Sheet4!G56),ROUND(Sheet4!G56,1),IF(B56="Σύνολα",SUMIF(B$1:B$200,Sheet6!K55,G$1:G$200),""))</f>
        <v>725.7</v>
      </c>
      <c r="H56">
        <f>IF(ISNUMBER(Sheet4!F56),ROUND(Sheet4!F56,1),IF(B56="Σύνολα",SUMIF(B$1:B$200,Sheet6!K55,H$1:H$200),""))</f>
        <v>443.7</v>
      </c>
      <c r="I56">
        <f>IF(ISNUMBER(Sheet4!J56),ROUND(Sheet4!J56,1),IF(B56="Σύνολα",SUMIF(B$1:B$200,Sheet6!K55,I$1:I$200),""))</f>
        <v>64.400000000000006</v>
      </c>
      <c r="J56">
        <f>IF(LEFT(A56,3)="TK-",VLOOKUP(A56,Sheet3!A:D,4,FALSE),IF(B56="Σύνολα",SUMIF(B$1:B$200,Sheet6!K55,J$1:J$200),""))</f>
        <v>90</v>
      </c>
      <c r="K56">
        <f>IF(B56="Σύνολα",SUMIF(B$1:B$200,Sheet6!K55,K$1:K$200),IF(ISNUMBER(E56),IF(E56&gt;J56,ROUND((E56-J56),1),""),""))</f>
        <v>634</v>
      </c>
      <c r="L56" s="6">
        <f>IF(ISNUMBER(Sheet4!J56),IF(AND(ISNUMBER(H56),H56&gt;0,I56&gt;0),ROUNDDOWN(H56/I56,0),""),"")</f>
        <v>6</v>
      </c>
      <c r="M56" s="6" t="str">
        <f>IF(AND(ISNUMBER(Sheet4!J56),ISNUMBER(K56)),IF(I56&lt;0,ROUNDDOWN(K56/I56,0),""),"")</f>
        <v/>
      </c>
      <c r="N56" s="29">
        <f>IF(ISNUMBER(Sheet4!H56),Sheet4!H56/1000,"")</f>
        <v>0.74</v>
      </c>
    </row>
    <row r="57" spans="1:14" ht="12.75" customHeight="1" x14ac:dyDescent="0.2">
      <c r="A57" t="str">
        <f>IF(OR(Sheet4!C57="?",ISNUMBER(Sheet4!C57)),Sheet4!A57,IF(B57="Σύνολα",B56,""))</f>
        <v>TK-840</v>
      </c>
      <c r="B57" s="94" t="str">
        <f>IF(OR(Sheet4!D57="?",ISNUMBER(Sheet4!D57)),MID(Sheet4!B57,4,20),IF(Sheet4!B57="________________","Σύνολα",IF(MID(Sheet4!B56,4,20)="Ballast","Σύνολα","")))</f>
        <v>PF/Feed</v>
      </c>
      <c r="C57">
        <f>IF(LEFT(A57,3)="TK-",VLOOKUP(A57,Sheet3!A:B,2,FALSE),IF(B57="Σύνολα",SUMIF(B$1:B$200,Sheet6!K56,C$1:C$200),""))</f>
        <v>1472</v>
      </c>
      <c r="D57" t="str">
        <f>IF(LEFT(A57,3)="TK-",VLOOKUP(A57,Sheet3!A:C,3,FALSE),"")</f>
        <v>141 + 16</v>
      </c>
      <c r="E57">
        <f>IF(ISNUMBER(Sheet4!D57),ROUND(Sheet4!D57,1),IF(B57="Σύνολα",SUMIF(B$1:B$200,Sheet6!K56,E$1:E$200),""))</f>
        <v>966.7</v>
      </c>
      <c r="F57" s="31">
        <f>IF(ISNUMBER(Sheet4!E57),Sheet4!E57,"")</f>
        <v>7.3</v>
      </c>
      <c r="G57">
        <f>IF(ISNUMBER(Sheet4!G57),ROUND(Sheet4!G57,1),IF(B57="Σύνολα",SUMIF(B$1:B$200,Sheet6!K56,G$1:G$200),""))</f>
        <v>946</v>
      </c>
      <c r="H57">
        <f>IF(ISNUMBER(Sheet4!F57),ROUND(Sheet4!F57,1),IF(B57="Σύνολα",SUMIF(B$1:B$200,Sheet6!K56,H$1:H$200),""))</f>
        <v>478.1</v>
      </c>
      <c r="I57">
        <f>IF(ISNUMBER(Sheet4!J57),ROUND(Sheet4!J57,1),IF(B57="Σύνολα",SUMIF(B$1:B$200,Sheet6!K56,I$1:I$200),""))</f>
        <v>0.6</v>
      </c>
      <c r="J57">
        <f>IF(LEFT(A57,3)="TK-",VLOOKUP(A57,Sheet3!A:D,4,FALSE),IF(B57="Σύνολα",SUMIF(B$1:B$200,Sheet6!K56,J$1:J$200),""))</f>
        <v>150</v>
      </c>
      <c r="K57">
        <f>IF(B57="Σύνολα",SUMIF(B$1:B$200,Sheet6!K56,K$1:K$200),IF(ISNUMBER(E57),IF(E57&gt;J57,ROUND((E57-J57),1),""),""))</f>
        <v>816.7</v>
      </c>
      <c r="L57" s="6">
        <f>IF(ISNUMBER(Sheet4!J57),IF(AND(ISNUMBER(H57),H57&gt;0,I57&gt;0),ROUNDDOWN(H57/I57,0),""),"")</f>
        <v>796</v>
      </c>
      <c r="M57" s="6" t="str">
        <f>IF(AND(ISNUMBER(Sheet4!J57),ISNUMBER(K57)),IF(I57&lt;0,ROUNDDOWN(K57/I57,0),""),"")</f>
        <v/>
      </c>
      <c r="N57" s="29">
        <f>IF(ISNUMBER(Sheet4!H57),Sheet4!H57/1000,"")</f>
        <v>0.72729999999999995</v>
      </c>
    </row>
    <row r="58" spans="1:14" ht="12.75" customHeight="1" x14ac:dyDescent="0.2">
      <c r="A58" t="str">
        <f>IF(OR(Sheet4!C58="?",ISNUMBER(Sheet4!C58)),Sheet4!A58,IF(B58="Σύνολα",B57,""))</f>
        <v>PF/Feed</v>
      </c>
      <c r="B58" s="94" t="str">
        <f>IF(OR(Sheet4!D58="?",ISNUMBER(Sheet4!D58)),MID(Sheet4!B58,4,20),IF(Sheet4!B58="________________","Σύνολα",IF(MID(Sheet4!B57,4,20)="Ballast","Σύνολα","")))</f>
        <v>Σύνολα</v>
      </c>
      <c r="C58">
        <f>IF(LEFT(A58,3)="TK-",VLOOKUP(A58,Sheet3!A:B,2,FALSE),IF(B58="Σύνολα",SUMIF(B$1:B$200,Sheet6!K57,C$1:C$200),""))</f>
        <v>5206</v>
      </c>
      <c r="D58" t="str">
        <f>IF(LEFT(A58,3)="TK-",VLOOKUP(A58,Sheet3!A:C,3,FALSE),"")</f>
        <v/>
      </c>
      <c r="E58">
        <f>IF(ISNUMBER(Sheet4!D58),ROUND(Sheet4!D58,1),IF(B58="Σύνολα",SUMIF(B$1:B$200,Sheet6!K57,E$1:E$200),""))</f>
        <v>2286.6000000000004</v>
      </c>
      <c r="F58" s="31" t="str">
        <f>IF(ISNUMBER(Sheet4!E58),Sheet4!E58,"")</f>
        <v/>
      </c>
      <c r="G58">
        <f>IF(ISNUMBER(Sheet4!G58),ROUND(Sheet4!G58,1),IF(B58="Σύνολα",SUMIF(B$1:B$200,Sheet6!K57,G$1:G$200),""))</f>
        <v>2269.3000000000002</v>
      </c>
      <c r="H58">
        <f>IF(ISNUMBER(Sheet4!F58),ROUND(Sheet4!F58,1),IF(B58="Σύνολα",SUMIF(B$1:B$200,Sheet6!K57,H$1:H$200),""))</f>
        <v>2837.2</v>
      </c>
      <c r="I58">
        <f>IF(ISNUMBER(Sheet4!J58),ROUND(Sheet4!J58,1),IF(B58="Σύνολα",SUMIF(B$1:B$200,Sheet6!K57,I$1:I$200),""))</f>
        <v>-554.6</v>
      </c>
      <c r="J58">
        <f>IF(LEFT(A58,3)="TK-",VLOOKUP(A58,Sheet3!A:D,4,FALSE),IF(B58="Σύνολα",SUMIF(B$1:B$200,Sheet6!K57,J$1:J$200),""))</f>
        <v>440</v>
      </c>
      <c r="K58">
        <f>IF(B58="Σύνολα",SUMIF(B$1:B$200,Sheet6!K57,K$1:K$200),IF(ISNUMBER(E58),IF(E58&gt;J58,ROUND((E58-J58),1),""),""))</f>
        <v>1846.6000000000001</v>
      </c>
      <c r="L58" s="6" t="str">
        <f>IF(ISNUMBER(Sheet4!J58),IF(AND(ISNUMBER(H58),H58&gt;0,I58&gt;0),ROUNDDOWN(H58/I58,0),""),"")</f>
        <v/>
      </c>
      <c r="M58" s="6" t="str">
        <f>IF(AND(ISNUMBER(Sheet4!J58),ISNUMBER(K58)),IF(I58&lt;0,ROUNDDOWN(K58/I58,0),""),"")</f>
        <v/>
      </c>
      <c r="N58" s="29" t="str">
        <f>IF(ISNUMBER(Sheet4!H58),Sheet4!H58/1000,"")</f>
        <v/>
      </c>
    </row>
    <row r="59" spans="1:14" ht="12.75" customHeight="1" x14ac:dyDescent="0.2">
      <c r="A59" t="str">
        <f>IF(OR(Sheet4!C59="?",ISNUMBER(Sheet4!C59)),Sheet4!A59,IF(B59="Σύνολα",B58,""))</f>
        <v/>
      </c>
      <c r="B59" s="94" t="str">
        <f>IF(OR(Sheet4!D59="?",ISNUMBER(Sheet4!D59)),MID(Sheet4!B59,4,20),IF(Sheet4!B59="________________","Σύνολα",IF(MID(Sheet4!B58,4,20)="Ballast","Σύνολα","")))</f>
        <v/>
      </c>
      <c r="C59" t="str">
        <f>IF(LEFT(A59,3)="TK-",VLOOKUP(A59,Sheet3!A:B,2,FALSE),IF(B59="Σύνολα",SUMIF(B$1:B$200,Sheet6!K58,C$1:C$200),""))</f>
        <v/>
      </c>
      <c r="D59" t="str">
        <f>IF(LEFT(A59,3)="TK-",VLOOKUP(A59,Sheet3!A:C,3,FALSE),"")</f>
        <v/>
      </c>
      <c r="E59" t="str">
        <f>IF(ISNUMBER(Sheet4!D59),ROUND(Sheet4!D59,1),IF(B59="Σύνολα",SUMIF(B$1:B$200,Sheet6!K58,E$1:E$200),""))</f>
        <v/>
      </c>
      <c r="F59" s="31" t="str">
        <f>IF(ISNUMBER(Sheet4!E59),Sheet4!E59,"")</f>
        <v/>
      </c>
      <c r="G59" t="str">
        <f>IF(ISNUMBER(Sheet4!G59),ROUND(Sheet4!G59,1),IF(B59="Σύνολα",SUMIF(B$1:B$200,Sheet6!K58,G$1:G$200),""))</f>
        <v/>
      </c>
      <c r="H59" t="str">
        <f>IF(ISNUMBER(Sheet4!F59),ROUND(Sheet4!F59,1),IF(B59="Σύνολα",SUMIF(B$1:B$200,Sheet6!K58,H$1:H$200),""))</f>
        <v/>
      </c>
      <c r="I59" t="str">
        <f>IF(ISNUMBER(Sheet4!J59),ROUND(Sheet4!J59,1),IF(B59="Σύνολα",SUMIF(B$1:B$200,Sheet6!K58,I$1:I$200),""))</f>
        <v/>
      </c>
      <c r="J59" t="str">
        <f>IF(LEFT(A59,3)="TK-",VLOOKUP(A59,Sheet3!A:D,4,FALSE),IF(B59="Σύνολα",SUMIF(B$1:B$200,Sheet6!K58,J$1:J$200),""))</f>
        <v/>
      </c>
      <c r="K59" t="str">
        <f>IF(B59="Σύνολα",SUMIF(B$1:B$200,Sheet6!K58,K$1:K$200),IF(ISNUMBER(E59),IF(E59&gt;J59,ROUND((E59-J59),1),""),""))</f>
        <v/>
      </c>
      <c r="L59" s="6" t="str">
        <f>IF(ISNUMBER(Sheet4!J59),IF(AND(ISNUMBER(H59),H59&gt;0,I59&gt;0),ROUNDDOWN(H59/I59,0),""),"")</f>
        <v/>
      </c>
      <c r="M59" s="6" t="str">
        <f>IF(AND(ISNUMBER(Sheet4!J59),ISNUMBER(K59)),IF(I59&lt;0,ROUNDDOWN(K59/I59,0),""),"")</f>
        <v/>
      </c>
      <c r="N59" s="29" t="str">
        <f>IF(ISNUMBER(Sheet4!H59),Sheet4!H59/1000,"")</f>
        <v/>
      </c>
    </row>
    <row r="60" spans="1:14" ht="12.75" customHeight="1" x14ac:dyDescent="0.2">
      <c r="A60" t="str">
        <f>IF(OR(Sheet4!C60="?",ISNUMBER(Sheet4!C60)),Sheet4!A60,IF(B60="Σύνολα",B59,""))</f>
        <v/>
      </c>
      <c r="B60" s="94" t="str">
        <f>IF(OR(Sheet4!D60="?",ISNUMBER(Sheet4!D60)),MID(Sheet4!B60,4,20),IF(Sheet4!B60="________________","Σύνολα",IF(MID(Sheet4!B59,4,20)="Ballast","Σύνολα","")))</f>
        <v/>
      </c>
      <c r="C60" t="str">
        <f>IF(LEFT(A60,3)="TK-",VLOOKUP(A60,Sheet3!A:B,2,FALSE),IF(B60="Σύνολα",SUMIF(B$1:B$200,Sheet6!K59,C$1:C$200),""))</f>
        <v/>
      </c>
      <c r="D60" t="str">
        <f>IF(LEFT(A60,3)="TK-",VLOOKUP(A60,Sheet3!A:C,3,FALSE),"")</f>
        <v/>
      </c>
      <c r="E60" t="str">
        <f>IF(ISNUMBER(Sheet4!D60),ROUND(Sheet4!D60,1),IF(B60="Σύνολα",SUMIF(B$1:B$200,Sheet6!K59,E$1:E$200),""))</f>
        <v/>
      </c>
      <c r="F60" s="31" t="str">
        <f>IF(ISNUMBER(Sheet4!E60),Sheet4!E60,"")</f>
        <v/>
      </c>
      <c r="G60" t="str">
        <f>IF(ISNUMBER(Sheet4!G60),ROUND(Sheet4!G60,1),IF(B60="Σύνολα",SUMIF(B$1:B$200,Sheet6!K59,G$1:G$200),""))</f>
        <v/>
      </c>
      <c r="H60" t="str">
        <f>IF(ISNUMBER(Sheet4!F60),ROUND(Sheet4!F60,1),IF(B60="Σύνολα",SUMIF(B$1:B$200,Sheet6!K59,H$1:H$200),""))</f>
        <v/>
      </c>
      <c r="I60" t="str">
        <f>IF(ISNUMBER(Sheet4!J60),ROUND(Sheet4!J60,1),IF(B60="Σύνολα",SUMIF(B$1:B$200,Sheet6!K59,I$1:I$200),""))</f>
        <v/>
      </c>
      <c r="J60" t="str">
        <f>IF(LEFT(A60,3)="TK-",VLOOKUP(A60,Sheet3!A:D,4,FALSE),IF(B60="Σύνολα",SUMIF(B$1:B$200,Sheet6!K59,J$1:J$200),""))</f>
        <v/>
      </c>
      <c r="K60" t="str">
        <f>IF(B60="Σύνολα",SUMIF(B$1:B$200,Sheet6!K59,K$1:K$200),IF(ISNUMBER(E60),IF(E60&gt;J60,ROUND((E60-J60),1),""),""))</f>
        <v/>
      </c>
      <c r="L60" s="6" t="str">
        <f>IF(ISNUMBER(Sheet4!J60),IF(AND(ISNUMBER(H60),H60&gt;0,I60&gt;0),ROUNDDOWN(H60/I60,0),""),"")</f>
        <v/>
      </c>
      <c r="M60" s="6" t="str">
        <f>IF(AND(ISNUMBER(Sheet4!J60),ISNUMBER(K60)),IF(I60&lt;0,ROUNDDOWN(K60/I60,0),""),"")</f>
        <v/>
      </c>
      <c r="N60" s="29" t="str">
        <f>IF(ISNUMBER(Sheet4!H60),Sheet4!H60/1000,"")</f>
        <v/>
      </c>
    </row>
    <row r="61" spans="1:14" ht="12.75" customHeight="1" x14ac:dyDescent="0.2">
      <c r="A61" t="str">
        <f>IF(OR(Sheet4!C61="?",ISNUMBER(Sheet4!C61)),Sheet4!A61,IF(B61="Σύνολα",B60,""))</f>
        <v>TK-1071</v>
      </c>
      <c r="B61" s="94" t="str">
        <f>IF(OR(Sheet4!D61="?",ISNUMBER(Sheet4!D61)),MID(Sheet4!B61,4,20),IF(Sheet4!B61="________________","Σύνολα",IF(MID(Sheet4!B60,4,20)="Ballast","Σύνολα","")))</f>
        <v>Bio</v>
      </c>
      <c r="C61">
        <f>IF(LEFT(A61,3)="TK-",VLOOKUP(A61,Sheet3!A:B,2,FALSE),IF(B61="Σύνολα",SUMIF(B$1:B$200,Sheet6!K60,C$1:C$200),""))</f>
        <v>2667</v>
      </c>
      <c r="D61" t="str">
        <f>IF(LEFT(A61,3)="TK-",VLOOKUP(A61,Sheet3!A:C,3,FALSE),"")</f>
        <v>197 + 25</v>
      </c>
      <c r="E61">
        <f>IF(ISNUMBER(Sheet4!D61),ROUND(Sheet4!D61,1),IF(B61="Σύνολα",SUMIF(B$1:B$200,Sheet6!K60,E$1:E$200),""))</f>
        <v>2390.9</v>
      </c>
      <c r="F61" s="31">
        <f>IF(ISNUMBER(Sheet4!E61),Sheet4!E61,"")</f>
        <v>10.9</v>
      </c>
      <c r="G61">
        <f>IF(ISNUMBER(Sheet4!G61),ROUND(Sheet4!G61,1),IF(B61="Σύνολα",SUMIF(B$1:B$200,Sheet6!K60,G$1:G$200),""))</f>
        <v>2398.5</v>
      </c>
      <c r="H61">
        <f>IF(ISNUMBER(Sheet4!F61),ROUND(Sheet4!F61,1),IF(B61="Σύνολα",SUMIF(B$1:B$200,Sheet6!K60,H$1:H$200),""))</f>
        <v>245.9</v>
      </c>
      <c r="I61">
        <f>IF(ISNUMBER(Sheet4!J61),ROUND(Sheet4!J61,1),IF(B61="Σύνολα",SUMIF(B$1:B$200,Sheet6!K60,I$1:I$200),""))</f>
        <v>167.8</v>
      </c>
      <c r="J61">
        <f>IF(LEFT(A61,3)="TK-",VLOOKUP(A61,Sheet3!A:D,4,FALSE),IF(B61="Σύνολα",SUMIF(B$1:B$200,Sheet6!K60,J$1:J$200),""))</f>
        <v>130</v>
      </c>
      <c r="K61">
        <f>IF(B61="Σύνολα",SUMIF(B$1:B$200,Sheet6!K60,K$1:K$200),IF(ISNUMBER(E61),IF(E61&gt;J61,ROUND((E61-J61),1),""),""))</f>
        <v>2260.9</v>
      </c>
      <c r="L61" s="6">
        <f>IF(ISNUMBER(Sheet4!J61),IF(AND(ISNUMBER(H61),H61&gt;0,I61&gt;0),ROUNDDOWN(H61/I61,0),""),"")</f>
        <v>1</v>
      </c>
      <c r="M61" s="6" t="str">
        <f>IF(AND(ISNUMBER(Sheet4!J61),ISNUMBER(K61)),IF(I61&lt;0,ROUNDDOWN(K61/I61,0),""),"")</f>
        <v/>
      </c>
      <c r="N61" s="29">
        <f>IF(ISNUMBER(Sheet4!H61),Sheet4!H61/1000,"")</f>
        <v>0.8822000000000001</v>
      </c>
    </row>
    <row r="62" spans="1:14" ht="12.75" customHeight="1" x14ac:dyDescent="0.2">
      <c r="A62" t="str">
        <f>IF(OR(Sheet4!C62="?",ISNUMBER(Sheet4!C62)),Sheet4!A62,IF(B62="Σύνολα",B61,""))</f>
        <v>Bio</v>
      </c>
      <c r="B62" s="94" t="str">
        <f>IF(OR(Sheet4!D62="?",ISNUMBER(Sheet4!D62)),MID(Sheet4!B62,4,20),IF(Sheet4!B62="________________","Σύνολα",IF(MID(Sheet4!B61,4,20)="Ballast","Σύνολα","")))</f>
        <v>Σύνολα</v>
      </c>
      <c r="C62">
        <f>IF(LEFT(A62,3)="TK-",VLOOKUP(A62,Sheet3!A:B,2,FALSE),IF(B62="Σύνολα",SUMIF(B$1:B$200,Sheet6!K61,C$1:C$200),""))</f>
        <v>2667</v>
      </c>
      <c r="D62" t="str">
        <f>IF(LEFT(A62,3)="TK-",VLOOKUP(A62,Sheet3!A:C,3,FALSE),"")</f>
        <v/>
      </c>
      <c r="E62">
        <f>IF(ISNUMBER(Sheet4!D62),ROUND(Sheet4!D62,1),IF(B62="Σύνολα",SUMIF(B$1:B$200,Sheet6!K61,E$1:E$200),""))</f>
        <v>2390.9</v>
      </c>
      <c r="F62" s="31" t="str">
        <f>IF(ISNUMBER(Sheet4!E62),Sheet4!E62,"")</f>
        <v/>
      </c>
      <c r="G62">
        <f>IF(ISNUMBER(Sheet4!G62),ROUND(Sheet4!G62,1),IF(B62="Σύνολα",SUMIF(B$1:B$200,Sheet6!K61,G$1:G$200),""))</f>
        <v>2398.5</v>
      </c>
      <c r="H62">
        <f>IF(ISNUMBER(Sheet4!F62),ROUND(Sheet4!F62,1),IF(B62="Σύνολα",SUMIF(B$1:B$200,Sheet6!K61,H$1:H$200),""))</f>
        <v>245.9</v>
      </c>
      <c r="I62">
        <f>IF(ISNUMBER(Sheet4!J62),ROUND(Sheet4!J62,1),IF(B62="Σύνολα",SUMIF(B$1:B$200,Sheet6!K61,I$1:I$200),""))</f>
        <v>167.8</v>
      </c>
      <c r="J62">
        <f>IF(LEFT(A62,3)="TK-",VLOOKUP(A62,Sheet3!A:D,4,FALSE),IF(B62="Σύνολα",SUMIF(B$1:B$200,Sheet6!K61,J$1:J$200),""))</f>
        <v>130</v>
      </c>
      <c r="K62">
        <f>IF(B62="Σύνολα",SUMIF(B$1:B$200,Sheet6!K61,K$1:K$200),IF(ISNUMBER(E62),IF(E62&gt;J62,ROUND((E62-J62),1),""),""))</f>
        <v>2260.9</v>
      </c>
      <c r="L62" s="6" t="str">
        <f>IF(ISNUMBER(Sheet4!J62),IF(AND(ISNUMBER(H62),H62&gt;0,I62&gt;0),ROUNDDOWN(H62/I62,0),""),"")</f>
        <v/>
      </c>
      <c r="M62" s="6" t="str">
        <f>IF(AND(ISNUMBER(Sheet4!J62),ISNUMBER(K62)),IF(I62&lt;0,ROUNDDOWN(K62/I62,0),""),"")</f>
        <v/>
      </c>
      <c r="N62" s="29" t="str">
        <f>IF(ISNUMBER(Sheet4!H62),Sheet4!H62/1000,"")</f>
        <v/>
      </c>
    </row>
    <row r="63" spans="1:14" ht="12.75" customHeight="1" x14ac:dyDescent="0.2">
      <c r="A63" t="str">
        <f>IF(OR(Sheet4!C63="?",ISNUMBER(Sheet4!C63)),Sheet4!A63,IF(B63="Σύνολα",B62,""))</f>
        <v/>
      </c>
      <c r="B63" s="94" t="str">
        <f>IF(OR(Sheet4!D63="?",ISNUMBER(Sheet4!D63)),MID(Sheet4!B63,4,20),IF(Sheet4!B63="________________","Σύνολα",IF(MID(Sheet4!B62,4,20)="Ballast","Σύνολα","")))</f>
        <v/>
      </c>
      <c r="C63" t="str">
        <f>IF(LEFT(A63,3)="TK-",VLOOKUP(A63,Sheet3!A:B,2,FALSE),IF(B63="Σύνολα",SUMIF(B$1:B$200,Sheet6!K62,C$1:C$200),""))</f>
        <v/>
      </c>
      <c r="D63" t="str">
        <f>IF(LEFT(A63,3)="TK-",VLOOKUP(A63,Sheet3!A:C,3,FALSE),"")</f>
        <v/>
      </c>
      <c r="E63" t="str">
        <f>IF(ISNUMBER(Sheet4!D63),ROUND(Sheet4!D63,1),IF(B63="Σύνολα",SUMIF(B$1:B$200,Sheet6!K62,E$1:E$200),""))</f>
        <v/>
      </c>
      <c r="F63" s="31" t="str">
        <f>IF(ISNUMBER(Sheet4!E63),Sheet4!E63,"")</f>
        <v/>
      </c>
      <c r="G63" t="str">
        <f>IF(ISNUMBER(Sheet4!G63),ROUND(Sheet4!G63,1),IF(B63="Σύνολα",SUMIF(B$1:B$200,Sheet6!K62,G$1:G$200),""))</f>
        <v/>
      </c>
      <c r="H63" t="str">
        <f>IF(ISNUMBER(Sheet4!F63),ROUND(Sheet4!F63,1),IF(B63="Σύνολα",SUMIF(B$1:B$200,Sheet6!K62,H$1:H$200),""))</f>
        <v/>
      </c>
      <c r="I63" t="str">
        <f>IF(ISNUMBER(Sheet4!J63),ROUND(Sheet4!J63,1),IF(B63="Σύνολα",SUMIF(B$1:B$200,Sheet6!K62,I$1:I$200),""))</f>
        <v/>
      </c>
      <c r="J63" t="str">
        <f>IF(LEFT(A63,3)="TK-",VLOOKUP(A63,Sheet3!A:D,4,FALSE),IF(B63="Σύνολα",SUMIF(B$1:B$200,Sheet6!K62,J$1:J$200),""))</f>
        <v/>
      </c>
      <c r="K63" t="str">
        <f>IF(B63="Σύνολα",SUMIF(B$1:B$200,Sheet6!K62,K$1:K$200),IF(ISNUMBER(E63),IF(E63&gt;J63,ROUND((E63-J63),1),""),""))</f>
        <v/>
      </c>
      <c r="L63" s="6" t="str">
        <f>IF(ISNUMBER(Sheet4!J63),IF(AND(ISNUMBER(H63),H63&gt;0,I63&gt;0),ROUNDDOWN(H63/I63,0),""),"")</f>
        <v/>
      </c>
      <c r="M63" s="6" t="str">
        <f>IF(AND(ISNUMBER(Sheet4!J63),ISNUMBER(K63)),IF(I63&lt;0,ROUNDDOWN(K63/I63,0),""),"")</f>
        <v/>
      </c>
      <c r="N63" s="29" t="str">
        <f>IF(ISNUMBER(Sheet4!H63),Sheet4!H63/1000,"")</f>
        <v/>
      </c>
    </row>
    <row r="64" spans="1:14" ht="12.75" customHeight="1" x14ac:dyDescent="0.2">
      <c r="A64" t="str">
        <f>IF(OR(Sheet4!C64="?",ISNUMBER(Sheet4!C64)),Sheet4!A64,IF(B64="Σύνολα",B63,""))</f>
        <v/>
      </c>
      <c r="B64" s="94" t="str">
        <f>IF(OR(Sheet4!D64="?",ISNUMBER(Sheet4!D64)),MID(Sheet4!B64,4,20),IF(Sheet4!B64="________________","Σύνολα",IF(MID(Sheet4!B63,4,20)="Ballast","Σύνολα","")))</f>
        <v/>
      </c>
      <c r="C64" t="str">
        <f>IF(LEFT(A64,3)="TK-",VLOOKUP(A64,Sheet3!A:B,2,FALSE),IF(B64="Σύνολα",SUMIF(B$1:B$200,Sheet6!K63,C$1:C$200),""))</f>
        <v/>
      </c>
      <c r="D64" t="str">
        <f>IF(LEFT(A64,3)="TK-",VLOOKUP(A64,Sheet3!A:C,3,FALSE),"")</f>
        <v/>
      </c>
      <c r="E64" t="str">
        <f>IF(ISNUMBER(Sheet4!D64),ROUND(Sheet4!D64,1),IF(B64="Σύνολα",SUMIF(B$1:B$200,Sheet6!K63,E$1:E$200),""))</f>
        <v/>
      </c>
      <c r="F64" s="31" t="str">
        <f>IF(ISNUMBER(Sheet4!E64),Sheet4!E64,"")</f>
        <v/>
      </c>
      <c r="G64" t="str">
        <f>IF(ISNUMBER(Sheet4!G64),ROUND(Sheet4!G64,1),IF(B64="Σύνολα",SUMIF(B$1:B$200,Sheet6!K63,G$1:G$200),""))</f>
        <v/>
      </c>
      <c r="H64" t="str">
        <f>IF(ISNUMBER(Sheet4!F64),ROUND(Sheet4!F64,1),IF(B64="Σύνολα",SUMIF(B$1:B$200,Sheet6!K63,H$1:H$200),""))</f>
        <v/>
      </c>
      <c r="I64" t="str">
        <f>IF(ISNUMBER(Sheet4!J64),ROUND(Sheet4!J64,1),IF(B64="Σύνολα",SUMIF(B$1:B$200,Sheet6!K63,I$1:I$200),""))</f>
        <v/>
      </c>
      <c r="J64" t="str">
        <f>IF(LEFT(A64,3)="TK-",VLOOKUP(A64,Sheet3!A:D,4,FALSE),IF(B64="Σύνολα",SUMIF(B$1:B$200,Sheet6!K63,J$1:J$200),""))</f>
        <v/>
      </c>
      <c r="K64" t="str">
        <f>IF(B64="Σύνολα",SUMIF(B$1:B$200,Sheet6!K63,K$1:K$200),IF(ISNUMBER(E64),IF(E64&gt;J64,ROUND((E64-J64),1),""),""))</f>
        <v/>
      </c>
      <c r="L64" s="6" t="str">
        <f>IF(ISNUMBER(Sheet4!J64),IF(AND(ISNUMBER(H64),H64&gt;0,I64&gt;0),ROUNDDOWN(H64/I64,0),""),"")</f>
        <v/>
      </c>
      <c r="M64" s="6" t="str">
        <f>IF(AND(ISNUMBER(Sheet4!J64),ISNUMBER(K64)),IF(I64&lt;0,ROUNDDOWN(K64/I64,0),""),"")</f>
        <v/>
      </c>
      <c r="N64" s="29" t="str">
        <f>IF(ISNUMBER(Sheet4!H64),Sheet4!H64/1000,"")</f>
        <v/>
      </c>
    </row>
    <row r="65" spans="1:14" ht="12.75" customHeight="1" x14ac:dyDescent="0.2">
      <c r="A65" t="str">
        <f>IF(OR(Sheet4!C65="?",ISNUMBER(Sheet4!C65)),Sheet4!A65,IF(B65="Σύνολα",B64,""))</f>
        <v>TK-818</v>
      </c>
      <c r="B65" s="94" t="str">
        <f>IF(OR(Sheet4!D65="?",ISNUMBER(Sheet4!D65)),MID(Sheet4!B65,4,20),IF(Sheet4!B65="________________","Σύνολα",IF(MID(Sheet4!B64,4,20)="Ballast","Σύνολα","")))</f>
        <v>JP-1A</v>
      </c>
      <c r="C65">
        <f>IF(LEFT(A65,3)="TK-",VLOOKUP(A65,Sheet3!A:B,2,FALSE),IF(B65="Σύνολα",SUMIF(B$1:B$200,Sheet6!K64,C$1:C$200),""))</f>
        <v>4099</v>
      </c>
      <c r="D65" t="str">
        <f>IF(LEFT(A65,3)="TK-",VLOOKUP(A65,Sheet3!A:C,3,FALSE),"")</f>
        <v>299 + 39</v>
      </c>
      <c r="E65">
        <f>IF(ISNUMBER(Sheet4!D65),ROUND(Sheet4!D65,1),IF(B65="Σύνολα",SUMIF(B$1:B$200,Sheet6!K64,E$1:E$200),""))</f>
        <v>275.39999999999998</v>
      </c>
      <c r="F65" s="31">
        <f>IF(ISNUMBER(Sheet4!E65),Sheet4!E65,"")</f>
        <v>11.7</v>
      </c>
      <c r="G65">
        <f>IF(ISNUMBER(Sheet4!G65),ROUND(Sheet4!G65,1),IF(B65="Σύνολα",SUMIF(B$1:B$200,Sheet6!K64,G$1:G$200),""))</f>
        <v>276.3</v>
      </c>
      <c r="H65">
        <f>IF(ISNUMBER(Sheet4!F65),ROUND(Sheet4!F65,1),IF(B65="Σύνολα",SUMIF(B$1:B$200,Sheet6!K64,H$1:H$200),""))</f>
        <v>3774.9</v>
      </c>
      <c r="I65">
        <f>IF(ISNUMBER(Sheet4!J65),ROUND(Sheet4!J65,1),IF(B65="Σύνολα",SUMIF(B$1:B$200,Sheet6!K64,I$1:I$200),""))</f>
        <v>3.3</v>
      </c>
      <c r="J65">
        <f>IF(LEFT(A65,3)="TK-",VLOOKUP(A65,Sheet3!A:D,4,FALSE),IF(B65="Σύνολα",SUMIF(B$1:B$200,Sheet6!K64,J$1:J$200),""))</f>
        <v>280</v>
      </c>
      <c r="K65" t="str">
        <f>IF(B65="Σύνολα",SUMIF(B$1:B$200,Sheet6!K64,K$1:K$200),IF(ISNUMBER(E65),IF(E65&gt;J65,ROUND((E65-J65),1),""),""))</f>
        <v/>
      </c>
      <c r="L65" s="6">
        <f>IF(ISNUMBER(Sheet4!J65),IF(AND(ISNUMBER(H65),H65&gt;0,I65&gt;0),ROUNDDOWN(H65/I65,0),""),"")</f>
        <v>1143</v>
      </c>
      <c r="M65" s="6" t="str">
        <f>IF(AND(ISNUMBER(Sheet4!J65),ISNUMBER(K65)),IF(I65&lt;0,ROUNDDOWN(K65/I65,0),""),"")</f>
        <v/>
      </c>
      <c r="N65" s="29">
        <f>IF(ISNUMBER(Sheet4!H65),Sheet4!H65/1000,"")</f>
        <v>0.7863</v>
      </c>
    </row>
    <row r="66" spans="1:14" ht="12.75" customHeight="1" x14ac:dyDescent="0.2">
      <c r="A66" t="str">
        <f>IF(OR(Sheet4!C66="?",ISNUMBER(Sheet4!C66)),Sheet4!A66,IF(B66="Σύνολα",B65,""))</f>
        <v>TK-819</v>
      </c>
      <c r="B66" s="94" t="str">
        <f>IF(OR(Sheet4!D66="?",ISNUMBER(Sheet4!D66)),MID(Sheet4!B66,4,20),IF(Sheet4!B66="________________","Σύνολα",IF(MID(Sheet4!B65,4,20)="Ballast","Σύνολα","")))</f>
        <v>JP-1A</v>
      </c>
      <c r="C66">
        <f>IF(LEFT(A66,3)="TK-",VLOOKUP(A66,Sheet3!A:B,2,FALSE),IF(B66="Σύνολα",SUMIF(B$1:B$200,Sheet6!K65,C$1:C$200),""))</f>
        <v>4099</v>
      </c>
      <c r="D66" t="str">
        <f>IF(LEFT(A66,3)="TK-",VLOOKUP(A66,Sheet3!A:C,3,FALSE),"")</f>
        <v>299 + 35</v>
      </c>
      <c r="E66">
        <f>IF(ISNUMBER(Sheet4!D66),ROUND(Sheet4!D66,1),IF(B66="Σύνολα",SUMIF(B$1:B$200,Sheet6!K65,E$1:E$200),""))</f>
        <v>265.39999999999998</v>
      </c>
      <c r="F66" s="31">
        <f>IF(ISNUMBER(Sheet4!E66),Sheet4!E66,"")</f>
        <v>11.8</v>
      </c>
      <c r="G66">
        <f>IF(ISNUMBER(Sheet4!G66),ROUND(Sheet4!G66,1),IF(B66="Σύνολα",SUMIF(B$1:B$200,Sheet6!K65,G$1:G$200),""))</f>
        <v>266.3</v>
      </c>
      <c r="H66">
        <f>IF(ISNUMBER(Sheet4!F66),ROUND(Sheet4!F66,1),IF(B66="Σύνολα",SUMIF(B$1:B$200,Sheet6!K65,H$1:H$200),""))</f>
        <v>3798</v>
      </c>
      <c r="I66">
        <f>IF(ISNUMBER(Sheet4!J66),ROUND(Sheet4!J66,1),IF(B66="Σύνολα",SUMIF(B$1:B$200,Sheet6!K65,I$1:I$200),""))</f>
        <v>0.4</v>
      </c>
      <c r="J66">
        <f>IF(LEFT(A66,3)="TK-",VLOOKUP(A66,Sheet3!A:D,4,FALSE),IF(B66="Σύνολα",SUMIF(B$1:B$200,Sheet6!K65,J$1:J$200),""))</f>
        <v>280</v>
      </c>
      <c r="K66" t="str">
        <f>IF(B66="Σύνολα",SUMIF(B$1:B$200,Sheet6!K65,K$1:K$200),IF(ISNUMBER(E66),IF(E66&gt;J66,ROUND((E66-J66),1),""),""))</f>
        <v/>
      </c>
      <c r="L66" s="6">
        <f>IF(ISNUMBER(Sheet4!J66),IF(AND(ISNUMBER(H66),H66&gt;0,I66&gt;0),ROUNDDOWN(H66/I66,0),""),"")</f>
        <v>9495</v>
      </c>
      <c r="M66" s="6" t="str">
        <f>IF(AND(ISNUMBER(Sheet4!J66),ISNUMBER(K66)),IF(I66&lt;0,ROUNDDOWN(K66/I66,0),""),"")</f>
        <v/>
      </c>
      <c r="N66" s="29">
        <f>IF(ISNUMBER(Sheet4!H66),Sheet4!H66/1000,"")</f>
        <v>0.78520000000000001</v>
      </c>
    </row>
    <row r="67" spans="1:14" ht="12.75" customHeight="1" x14ac:dyDescent="0.2">
      <c r="A67" t="str">
        <f>IF(OR(Sheet4!C67="?",ISNUMBER(Sheet4!C67)),Sheet4!A67,IF(B67="Σύνολα",B66,""))</f>
        <v>TK-820</v>
      </c>
      <c r="B67" s="94" t="str">
        <f>IF(OR(Sheet4!D67="?",ISNUMBER(Sheet4!D67)),MID(Sheet4!B67,4,20),IF(Sheet4!B67="________________","Σύνολα",IF(MID(Sheet4!B66,4,20)="Ballast","Σύνολα","")))</f>
        <v>JP-1A</v>
      </c>
      <c r="C67">
        <f>IF(LEFT(A67,3)="TK-",VLOOKUP(A67,Sheet3!A:B,2,FALSE),IF(B67="Σύνολα",SUMIF(B$1:B$200,Sheet6!K66,C$1:C$200),""))</f>
        <v>6730</v>
      </c>
      <c r="D67" t="str">
        <f>IF(LEFT(A67,3)="TK-",VLOOKUP(A67,Sheet3!A:C,3,FALSE),"")</f>
        <v>479 + 78</v>
      </c>
      <c r="E67">
        <f>IF(ISNUMBER(Sheet4!D67),ROUND(Sheet4!D67,1),IF(B67="Σύνολα",SUMIF(B$1:B$200,Sheet6!K66,E$1:E$200),""))</f>
        <v>636</v>
      </c>
      <c r="F67" s="31">
        <f>IF(ISNUMBER(Sheet4!E67),Sheet4!E67,"")</f>
        <v>17.5</v>
      </c>
      <c r="G67">
        <f>IF(ISNUMBER(Sheet4!G67),ROUND(Sheet4!G67,1),IF(B67="Σύνολα",SUMIF(B$1:B$200,Sheet6!K66,G$1:G$200),""))</f>
        <v>634.5</v>
      </c>
      <c r="H67">
        <v>8013.9</v>
      </c>
      <c r="I67">
        <f>IF(ISNUMBER(Sheet4!J67),ROUND(Sheet4!J67,1),IF(B67="Σύνολα",SUMIF(B$1:B$200,Sheet6!K66,I$1:I$200),""))</f>
        <v>1.1000000000000001</v>
      </c>
      <c r="J67">
        <f>IF(LEFT(A67,3)="TK-",VLOOKUP(A67,Sheet3!A:D,4,FALSE),IF(B67="Σύνολα",SUMIF(B$1:B$200,Sheet6!K66,J$1:J$200),""))</f>
        <v>320</v>
      </c>
      <c r="K67">
        <f>IF(B67="Σύνολα",SUMIF(B$1:B$200,Sheet6!K66,K$1:K$200),IF(ISNUMBER(E67),IF(E67&gt;J67,ROUND((E67-J67),1),""),""))</f>
        <v>316</v>
      </c>
      <c r="L67" s="6">
        <f>IF(ISNUMBER(Sheet4!J67),IF(AND(ISNUMBER(H67),H67&gt;0,I67&gt;0),ROUNDDOWN(H67/I67,0),""),"")</f>
        <v>7285</v>
      </c>
      <c r="M67" s="6" t="str">
        <f>IF(AND(ISNUMBER(Sheet4!J67),ISNUMBER(K67)),IF(I67&lt;0,ROUNDDOWN(K67/I67,0),""),"")</f>
        <v/>
      </c>
      <c r="N67" s="29">
        <f>IF(ISNUMBER(Sheet4!H67),Sheet4!H67/1000,"")</f>
        <v>0.79059999999999997</v>
      </c>
    </row>
    <row r="68" spans="1:14" ht="12.75" customHeight="1" x14ac:dyDescent="0.2">
      <c r="A68" t="str">
        <f>IF(OR(Sheet4!C68="?",ISNUMBER(Sheet4!C68)),Sheet4!A68,IF(B68="Σύνολα",B67,""))</f>
        <v>TK-821</v>
      </c>
      <c r="B68" s="94" t="str">
        <f>IF(OR(Sheet4!D68="?",ISNUMBER(Sheet4!D68)),MID(Sheet4!B68,4,20),IF(Sheet4!B68="________________","Σύνολα",IF(MID(Sheet4!B67,4,20)="Ballast","Σύνολα","")))</f>
        <v>JP-1A</v>
      </c>
      <c r="C68">
        <f>IF(LEFT(A68,3)="TK-",VLOOKUP(A68,Sheet3!A:B,2,FALSE),IF(B68="Σύνολα",SUMIF(B$1:B$200,Sheet6!K67,C$1:C$200),""))</f>
        <v>6744</v>
      </c>
      <c r="D68" t="str">
        <f>IF(LEFT(A68,3)="TK-",VLOOKUP(A68,Sheet3!A:C,3,FALSE),"")</f>
        <v>479 + 84</v>
      </c>
      <c r="E68">
        <f>IF(ISNUMBER(Sheet4!D68),ROUND(Sheet4!D68,1),IF(B68="Σύνολα",SUMIF(B$1:B$200,Sheet6!K67,E$1:E$200),""))</f>
        <v>826.5</v>
      </c>
      <c r="F68" s="31">
        <f>IF(ISNUMBER(Sheet4!E68),Sheet4!E68,"")</f>
        <v>15.1</v>
      </c>
      <c r="G68">
        <f>IF(ISNUMBER(Sheet4!G68),ROUND(Sheet4!G68,1),IF(B68="Σύνολα",SUMIF(B$1:B$200,Sheet6!K67,G$1:G$200),""))</f>
        <v>814.7</v>
      </c>
      <c r="H68">
        <f>IF(ISNUMBER(Sheet4!F68),ROUND(Sheet4!F68,1),IF(B68="Σύνολα",SUMIF(B$1:B$200,Sheet6!K67,H$1:H$200),""))</f>
        <v>5868</v>
      </c>
      <c r="I68">
        <f>IF(ISNUMBER(Sheet4!J68),ROUND(Sheet4!J68,1),IF(B68="Σύνολα",SUMIF(B$1:B$200,Sheet6!K67,I$1:I$200),""))</f>
        <v>261.3</v>
      </c>
      <c r="J68">
        <f>IF(LEFT(A68,3)="TK-",VLOOKUP(A68,Sheet3!A:D,4,FALSE),IF(B68="Σύνολα",SUMIF(B$1:B$200,Sheet6!K67,J$1:J$200),""))</f>
        <v>320</v>
      </c>
      <c r="K68">
        <f>IF(B68="Σύνολα",SUMIF(B$1:B$200,Sheet6!K67,K$1:K$200),IF(ISNUMBER(E68),IF(E68&gt;J68,ROUND((E68-J68),1),""),""))</f>
        <v>506.5</v>
      </c>
      <c r="L68" s="6">
        <f>IF(ISNUMBER(Sheet4!J68),IF(AND(ISNUMBER(H68),H68&gt;0,I68&gt;0),ROUNDDOWN(H68/I68,0),""),"")</f>
        <v>22</v>
      </c>
      <c r="M68" s="6" t="str">
        <f>IF(AND(ISNUMBER(Sheet4!J68),ISNUMBER(K68)),IF(I68&lt;0,ROUNDDOWN(K68/I68,0),""),"")</f>
        <v/>
      </c>
      <c r="N68" s="29">
        <f>IF(ISNUMBER(Sheet4!H68),Sheet4!H68/1000,"")</f>
        <v>0.78770000000000007</v>
      </c>
    </row>
    <row r="69" spans="1:14" ht="12.75" customHeight="1" x14ac:dyDescent="0.2">
      <c r="A69" t="str">
        <f>IF(OR(Sheet4!C69="?",ISNUMBER(Sheet4!C69)),Sheet4!A69,IF(B69="Σύνολα",B68,""))</f>
        <v>TK-834</v>
      </c>
      <c r="B69" s="94" t="str">
        <f>IF(OR(Sheet4!D69="?",ISNUMBER(Sheet4!D69)),MID(Sheet4!B69,4,20),IF(Sheet4!B69="________________","Σύνολα",IF(MID(Sheet4!B68,4,20)="Ballast","Σύνολα","")))</f>
        <v>JP-1A</v>
      </c>
      <c r="C69">
        <f>IF(LEFT(A69,3)="TK-",VLOOKUP(A69,Sheet3!A:B,2,FALSE),IF(B69="Σύνολα",SUMIF(B$1:B$200,Sheet6!K68,C$1:C$200),""))</f>
        <v>8654</v>
      </c>
      <c r="D69" t="str">
        <f>IF(LEFT(A69,3)="TK-",VLOOKUP(A69,Sheet3!A:C,3,FALSE),"")</f>
        <v>632 + 58</v>
      </c>
      <c r="E69">
        <f>IF(ISNUMBER(Sheet4!D69),ROUND(Sheet4!D69,1),IF(B69="Σύνολα",SUMIF(B$1:B$200,Sheet6!K68,E$1:E$200),""))</f>
        <v>4949.8999999999996</v>
      </c>
      <c r="F69" s="31">
        <f>IF(ISNUMBER(Sheet4!E69),Sheet4!E69,"")</f>
        <v>15.4</v>
      </c>
      <c r="G69">
        <f>IF(ISNUMBER(Sheet4!G69),ROUND(Sheet4!G69,1),IF(B69="Σύνολα",SUMIF(B$1:B$200,Sheet6!K68,G$1:G$200),""))</f>
        <v>4960.3</v>
      </c>
      <c r="H69">
        <f>IF(ISNUMBER(Sheet4!F69),ROUND(Sheet4!F69,1),IF(B69="Σύνολα",SUMIF(B$1:B$200,Sheet6!K68,H$1:H$200),""))</f>
        <v>3645.6</v>
      </c>
      <c r="I69">
        <f>IF(ISNUMBER(Sheet4!J69),ROUND(Sheet4!J69,1),IF(B69="Σύνολα",SUMIF(B$1:B$200,Sheet6!K68,I$1:I$200),""))</f>
        <v>-914</v>
      </c>
      <c r="J69">
        <f>IF(LEFT(A69,3)="TK-",VLOOKUP(A69,Sheet3!A:D,4,FALSE),IF(B69="Σύνολα",SUMIF(B$1:B$200,Sheet6!K68,J$1:J$200),""))</f>
        <v>500</v>
      </c>
      <c r="K69">
        <f>IF(B69="Σύνολα",SUMIF(B$1:B$200,Sheet6!K68,K$1:K$200),IF(ISNUMBER(E69),IF(E69&gt;J69,ROUND((E69-J69),1),""),""))</f>
        <v>4449.8999999999996</v>
      </c>
      <c r="L69" s="6" t="str">
        <f>IF(ISNUMBER(Sheet4!J69),IF(AND(ISNUMBER(H69),H69&gt;0,I69&gt;0),ROUNDDOWN(H69/I69,0),""),"")</f>
        <v/>
      </c>
      <c r="M69" s="6">
        <f>IF(AND(ISNUMBER(Sheet4!J69),ISNUMBER(K69)),IF(I69&lt;0,ROUNDDOWN(K69/I69,0),""),"")</f>
        <v>-4</v>
      </c>
      <c r="N69" s="29">
        <f>IF(ISNUMBER(Sheet4!H69),Sheet4!H69/1000,"")</f>
        <v>0.79359999999999997</v>
      </c>
    </row>
    <row r="70" spans="1:14" ht="12.75" customHeight="1" x14ac:dyDescent="0.2">
      <c r="A70" t="str">
        <f>IF(OR(Sheet4!C70="?",ISNUMBER(Sheet4!C70)),Sheet4!A70,IF(B70="Σύνολα",B69,""))</f>
        <v>JP-1A</v>
      </c>
      <c r="B70" s="94" t="str">
        <f>IF(OR(Sheet4!D70="?",ISNUMBER(Sheet4!D70)),MID(Sheet4!B70,4,20),IF(Sheet4!B70="________________","Σύνολα",IF(MID(Sheet4!B69,4,20)="Ballast","Σύνολα","")))</f>
        <v>Σύνολα</v>
      </c>
      <c r="C70">
        <f>IF(LEFT(A70,3)="TK-",VLOOKUP(A70,Sheet3!A:B,2,FALSE),IF(B70="Σύνολα",SUMIF(B$1:B$200,Sheet6!K69,C$1:C$200),""))</f>
        <v>30326</v>
      </c>
      <c r="D70" t="str">
        <f>IF(LEFT(A70,3)="TK-",VLOOKUP(A70,Sheet3!A:C,3,FALSE),"")</f>
        <v/>
      </c>
      <c r="E70">
        <f>IF(ISNUMBER(Sheet4!D70),ROUND(Sheet4!D70,1),IF(B70="Σύνολα",SUMIF(B$1:B$200,Sheet6!K69,E$1:E$200),""))</f>
        <v>6953.2</v>
      </c>
      <c r="F70" s="31" t="str">
        <f>IF(ISNUMBER(Sheet4!E70),Sheet4!E70,"")</f>
        <v/>
      </c>
      <c r="G70">
        <f>IF(ISNUMBER(Sheet4!G70),ROUND(Sheet4!G70,1),IF(B70="Σύνολα",SUMIF(B$1:B$200,Sheet6!K69,G$1:G$200),""))</f>
        <v>6952.1</v>
      </c>
      <c r="H70">
        <f>IF(ISNUMBER(Sheet4!F70),ROUND(Sheet4!F70,1),IF(B70="Σύνολα",SUMIF(B$1:B$200,Sheet6!K69,H$1:H$200),""))</f>
        <v>25100.399999999998</v>
      </c>
      <c r="I70">
        <f>IF(ISNUMBER(Sheet4!J70),ROUND(Sheet4!J70,1),IF(B70="Σύνολα",SUMIF(B$1:B$200,Sheet6!K69,I$1:I$200),""))</f>
        <v>-647.9</v>
      </c>
      <c r="J70">
        <f>IF(LEFT(A70,3)="TK-",VLOOKUP(A70,Sheet3!A:D,4,FALSE),IF(B70="Σύνολα",SUMIF(B$1:B$200,Sheet6!K69,J$1:J$200),""))</f>
        <v>1700</v>
      </c>
      <c r="K70">
        <f>IF(B70="Σύνολα",SUMIF(B$1:B$200,Sheet6!K69,K$1:K$200),IF(ISNUMBER(E70),IF(E70&gt;J70,ROUND((E70-J70),1),""),""))</f>
        <v>5272.4</v>
      </c>
      <c r="L70" s="6" t="str">
        <f>IF(ISNUMBER(Sheet4!J70),IF(AND(ISNUMBER(H70),H70&gt;0,I70&gt;0),ROUNDDOWN(H70/I70,0),""),"")</f>
        <v/>
      </c>
      <c r="M70" s="6" t="str">
        <f>IF(AND(ISNUMBER(Sheet4!J70),ISNUMBER(K70)),IF(I70&lt;0,ROUNDDOWN(K70/I70,0),""),"")</f>
        <v/>
      </c>
      <c r="N70" s="29" t="str">
        <f>IF(ISNUMBER(Sheet4!H70),Sheet4!H70/1000,"")</f>
        <v/>
      </c>
    </row>
    <row r="71" spans="1:14" ht="12.75" customHeight="1" x14ac:dyDescent="0.2">
      <c r="A71" t="str">
        <f>IF(OR(Sheet4!C71="?",ISNUMBER(Sheet4!C71)),Sheet4!A71,IF(B71="Σύνολα",B70,""))</f>
        <v/>
      </c>
      <c r="B71" s="94" t="str">
        <f>IF(OR(Sheet4!D71="?",ISNUMBER(Sheet4!D71)),MID(Sheet4!B71,4,20),IF(Sheet4!B71="________________","Σύνολα",IF(MID(Sheet4!B70,4,20)="Ballast","Σύνολα","")))</f>
        <v/>
      </c>
      <c r="C71" t="str">
        <f>IF(LEFT(A71,3)="TK-",VLOOKUP(A71,Sheet3!A:B,2,FALSE),IF(B71="Σύνολα",SUMIF(B$1:B$200,Sheet6!K70,C$1:C$200),""))</f>
        <v/>
      </c>
      <c r="D71" t="str">
        <f>IF(LEFT(A71,3)="TK-",VLOOKUP(A71,Sheet3!A:C,3,FALSE),"")</f>
        <v/>
      </c>
      <c r="E71" t="str">
        <f>IF(ISNUMBER(Sheet4!D71),ROUND(Sheet4!D71,1),IF(B71="Σύνολα",SUMIF(B$1:B$200,Sheet6!K70,E$1:E$200),""))</f>
        <v/>
      </c>
      <c r="F71" s="31" t="str">
        <f>IF(ISNUMBER(Sheet4!E71),Sheet4!E71,"")</f>
        <v/>
      </c>
      <c r="G71" t="str">
        <f>IF(ISNUMBER(Sheet4!G71),ROUND(Sheet4!G71,1),IF(B71="Σύνολα",SUMIF(B$1:B$200,Sheet6!K70,G$1:G$200),""))</f>
        <v/>
      </c>
      <c r="H71" t="str">
        <f>IF(ISNUMBER(Sheet4!F71),ROUND(Sheet4!F71,1),IF(B71="Σύνολα",SUMIF(B$1:B$200,Sheet6!K70,H$1:H$200),""))</f>
        <v/>
      </c>
      <c r="I71" t="str">
        <f>IF(ISNUMBER(Sheet4!J71),ROUND(Sheet4!J71,1),IF(B71="Σύνολα",SUMIF(B$1:B$200,Sheet6!K70,I$1:I$200),""))</f>
        <v/>
      </c>
      <c r="J71" t="str">
        <f>IF(LEFT(A71,3)="TK-",VLOOKUP(A71,Sheet3!A:D,4,FALSE),IF(B71="Σύνολα",SUMIF(B$1:B$200,Sheet6!K70,J$1:J$200),""))</f>
        <v/>
      </c>
      <c r="K71" t="str">
        <f>IF(B71="Σύνολα",SUMIF(B$1:B$200,Sheet6!K70,K$1:K$200),IF(ISNUMBER(E71),IF(E71&gt;J71,ROUND((E71-J71),1),""),""))</f>
        <v/>
      </c>
      <c r="L71" s="6" t="str">
        <f>IF(ISNUMBER(Sheet4!J71),IF(AND(ISNUMBER(H71),H71&gt;0,I71&gt;0),ROUNDDOWN(H71/I71,0),""),"")</f>
        <v/>
      </c>
      <c r="M71" s="6" t="str">
        <f>IF(AND(ISNUMBER(Sheet4!J71),ISNUMBER(K71)),IF(I71&lt;0,ROUNDDOWN(K71/I71,0),""),"")</f>
        <v/>
      </c>
      <c r="N71" s="29" t="str">
        <f>IF(ISNUMBER(Sheet4!H71),Sheet4!H71/1000,"")</f>
        <v/>
      </c>
    </row>
    <row r="72" spans="1:14" ht="12.75" customHeight="1" x14ac:dyDescent="0.2">
      <c r="A72" t="str">
        <f>IF(OR(Sheet4!C72="?",ISNUMBER(Sheet4!C72)),Sheet4!A72,IF(B72="Σύνολα",B71,""))</f>
        <v/>
      </c>
      <c r="B72" s="94" t="str">
        <f>IF(OR(Sheet4!D72="?",ISNUMBER(Sheet4!D72)),MID(Sheet4!B72,4,20),IF(Sheet4!B72="________________","Σύνολα",IF(MID(Sheet4!B71,4,20)="Ballast","Σύνολα","")))</f>
        <v/>
      </c>
      <c r="C72" t="str">
        <f>IF(LEFT(A72,3)="TK-",VLOOKUP(A72,Sheet3!A:B,2,FALSE),IF(B72="Σύνολα",SUMIF(B$1:B$200,Sheet6!K71,C$1:C$200),""))</f>
        <v/>
      </c>
      <c r="D72" t="str">
        <f>IF(LEFT(A72,3)="TK-",VLOOKUP(A72,Sheet3!A:C,3,FALSE),"")</f>
        <v/>
      </c>
      <c r="E72" t="str">
        <f>IF(ISNUMBER(Sheet4!D72),ROUND(Sheet4!D72,1),IF(B72="Σύνολα",SUMIF(B$1:B$200,Sheet6!K71,E$1:E$200),""))</f>
        <v/>
      </c>
      <c r="F72" s="31" t="str">
        <f>IF(ISNUMBER(Sheet4!E72),Sheet4!E72,"")</f>
        <v/>
      </c>
      <c r="G72" t="str">
        <f>IF(ISNUMBER(Sheet4!G72),ROUND(Sheet4!G72,1),IF(B72="Σύνολα",SUMIF(B$1:B$200,Sheet6!K71,G$1:G$200),""))</f>
        <v/>
      </c>
      <c r="H72" t="str">
        <f>IF(ISNUMBER(Sheet4!F72),ROUND(Sheet4!F72,1),IF(B72="Σύνολα",SUMIF(B$1:B$200,Sheet6!K71,H$1:H$200),""))</f>
        <v/>
      </c>
      <c r="I72" t="str">
        <f>IF(ISNUMBER(Sheet4!J72),ROUND(Sheet4!J72,1),IF(B72="Σύνολα",SUMIF(B$1:B$200,Sheet6!K71,I$1:I$200),""))</f>
        <v/>
      </c>
      <c r="J72" t="str">
        <f>IF(LEFT(A72,3)="TK-",VLOOKUP(A72,Sheet3!A:D,4,FALSE),IF(B72="Σύνολα",SUMIF(B$1:B$200,Sheet6!K71,J$1:J$200),""))</f>
        <v/>
      </c>
      <c r="K72" t="str">
        <f>IF(B72="Σύνολα",SUMIF(B$1:B$200,Sheet6!K71,K$1:K$200),IF(ISNUMBER(E72),IF(E72&gt;J72,ROUND((E72-J72),1),""),""))</f>
        <v/>
      </c>
      <c r="L72" s="6" t="str">
        <f>IF(ISNUMBER(Sheet4!J72),IF(AND(ISNUMBER(H72),H72&gt;0,I72&gt;0),ROUNDDOWN(H72/I72,0),""),"")</f>
        <v/>
      </c>
      <c r="M72" s="6" t="str">
        <f>IF(AND(ISNUMBER(Sheet4!J72),ISNUMBER(K72)),IF(I72&lt;0,ROUNDDOWN(K72/I72,0),""),"")</f>
        <v/>
      </c>
      <c r="N72" s="29" t="str">
        <f>IF(ISNUMBER(Sheet4!H72),Sheet4!H72/1000,"")</f>
        <v/>
      </c>
    </row>
    <row r="73" spans="1:14" ht="12.75" customHeight="1" x14ac:dyDescent="0.2">
      <c r="A73" t="str">
        <f>IF(OR(Sheet4!C73="?",ISNUMBER(Sheet4!C73)),Sheet4!A73,IF(B73="Σύνολα",B72,""))</f>
        <v>TK-822</v>
      </c>
      <c r="B73" s="94" t="str">
        <f>IF(OR(Sheet4!D73="?",ISNUMBER(Sheet4!D73)),MID(Sheet4!B73,4,20),IF(Sheet4!B73="________________","Σύνολα",IF(MID(Sheet4!B72,4,20)="Ballast","Σύνολα","")))</f>
        <v>Heating Oil</v>
      </c>
      <c r="C73">
        <f>IF(LEFT(A73,3)="TK-",VLOOKUP(A73,Sheet3!A:B,2,FALSE),IF(B73="Σύνολα",SUMIF(B$1:B$200,Sheet6!K72,C$1:C$200),""))</f>
        <v>8832</v>
      </c>
      <c r="D73" t="str">
        <f>IF(LEFT(A73,3)="TK-",VLOOKUP(A73,Sheet3!A:C,3,FALSE),"")</f>
        <v>632 + 127</v>
      </c>
      <c r="E73">
        <f>IF(ISNUMBER(Sheet4!D73),ROUND(Sheet4!D73,1),IF(B73="Σύνολα",SUMIF(B$1:B$200,Sheet6!K72,E$1:E$200),""))</f>
        <v>8135.8</v>
      </c>
      <c r="F73" s="31">
        <f>IF(ISNUMBER(Sheet4!E73),Sheet4!E73,"")</f>
        <v>13.9</v>
      </c>
      <c r="G73">
        <f>IF(ISNUMBER(Sheet4!G73),ROUND(Sheet4!G73,1),IF(B73="Σύνολα",SUMIF(B$1:B$200,Sheet6!K72,G$1:G$200),""))</f>
        <v>8155.3</v>
      </c>
      <c r="H73">
        <f>IF(ISNUMBER(Sheet4!F73),ROUND(Sheet4!F73,1),IF(B73="Σύνολα",SUMIF(B$1:B$200,Sheet6!K72,H$1:H$200),""))</f>
        <v>696.1</v>
      </c>
      <c r="I73">
        <f>IF(ISNUMBER(Sheet4!J73),ROUND(Sheet4!J73,1),IF(B73="Σύνολα",SUMIF(B$1:B$200,Sheet6!K72,I$1:I$200),""))</f>
        <v>1765.7</v>
      </c>
      <c r="J73">
        <f>IF(LEFT(A73,3)="TK-",VLOOKUP(A73,Sheet3!A:D,4,FALSE),IF(B73="Σύνολα",SUMIF(B$1:B$200,Sheet6!K72,J$1:J$200),""))</f>
        <v>440</v>
      </c>
      <c r="K73">
        <f>IF(B73="Σύνολα",SUMIF(B$1:B$200,Sheet6!K72,K$1:K$200),IF(ISNUMBER(E73),IF(E73&gt;J73,ROUND((E73-J73),1),""),""))</f>
        <v>7695.8</v>
      </c>
      <c r="L73" s="6">
        <f>IF(ISNUMBER(Sheet4!J73),IF(AND(ISNUMBER(H73),H73&gt;0,I73&gt;0),ROUNDDOWN(H73/I73,0),""),"")</f>
        <v>0</v>
      </c>
      <c r="M73" s="6" t="str">
        <f>IF(AND(ISNUMBER(Sheet4!J73),ISNUMBER(K73)),IF(I73&lt;0,ROUNDDOWN(K73/I73,0),""),"")</f>
        <v/>
      </c>
      <c r="N73" s="29">
        <f>IF(ISNUMBER(Sheet4!H73),Sheet4!H73/1000,"")</f>
        <v>0.83450000000000002</v>
      </c>
    </row>
    <row r="74" spans="1:14" ht="12.75" customHeight="1" x14ac:dyDescent="0.2">
      <c r="A74" t="str">
        <f>IF(OR(Sheet4!C74="?",ISNUMBER(Sheet4!C74)),Sheet4!A74,IF(B74="Σύνολα",B73,""))</f>
        <v>TK-823</v>
      </c>
      <c r="B74" s="94" t="str">
        <f>IF(OR(Sheet4!D74="?",ISNUMBER(Sheet4!D74)),MID(Sheet4!B74,4,20),IF(Sheet4!B74="________________","Σύνολα",IF(MID(Sheet4!B73,4,20)="Ballast","Σύνολα","")))</f>
        <v>Heating Oil</v>
      </c>
      <c r="C74">
        <f>IF(LEFT(A74,3)="TK-",VLOOKUP(A74,Sheet3!A:B,2,FALSE),IF(B74="Σύνολα",SUMIF(B$1:B$200,Sheet6!K73,C$1:C$200),""))</f>
        <v>6533</v>
      </c>
      <c r="D74" t="str">
        <f>IF(LEFT(A74,3)="TK-",VLOOKUP(A74,Sheet3!A:C,3,FALSE),"")</f>
        <v>479 + 65</v>
      </c>
      <c r="E74">
        <f>IF(ISNUMBER(Sheet4!D74),ROUND(Sheet4!D74,1),IF(B74="Σύνολα",SUMIF(B$1:B$200,Sheet6!K73,E$1:E$200),""))</f>
        <v>4973.3</v>
      </c>
      <c r="F74" s="31">
        <f>IF(ISNUMBER(Sheet4!E74),Sheet4!E74,"")</f>
        <v>23.3</v>
      </c>
      <c r="G74">
        <f>IF(ISNUMBER(Sheet4!G74),ROUND(Sheet4!G74,1),IF(B74="Σύνολα",SUMIF(B$1:B$200,Sheet6!K73,G$1:G$200),""))</f>
        <v>4938.5</v>
      </c>
      <c r="H74">
        <f>IF(ISNUMBER(Sheet4!F74),ROUND(Sheet4!F74,1),IF(B74="Σύνολα",SUMIF(B$1:B$200,Sheet6!K73,H$1:H$200),""))</f>
        <v>1560.5</v>
      </c>
      <c r="I74">
        <f>IF(ISNUMBER(Sheet4!J74),ROUND(Sheet4!J74,1),IF(B74="Σύνολα",SUMIF(B$1:B$200,Sheet6!K73,I$1:I$200),""))</f>
        <v>-228.9</v>
      </c>
      <c r="J74">
        <f>IF(LEFT(A74,3)="TK-",VLOOKUP(A74,Sheet3!A:D,4,FALSE),IF(B74="Σύνολα",SUMIF(B$1:B$200,Sheet6!K73,J$1:J$200),""))</f>
        <v>310</v>
      </c>
      <c r="K74">
        <f>IF(B74="Σύνολα",SUMIF(B$1:B$200,Sheet6!K73,K$1:K$200),IF(ISNUMBER(E74),IF(E74&gt;J74,ROUND((E74-J74),1),""),""))</f>
        <v>4663.3</v>
      </c>
      <c r="L74" s="6" t="str">
        <f>IF(ISNUMBER(Sheet4!J74),IF(AND(ISNUMBER(H74),H74&gt;0,I74&gt;0),ROUNDDOWN(H74/I74,0),""),"")</f>
        <v/>
      </c>
      <c r="M74" s="6">
        <f>IF(AND(ISNUMBER(Sheet4!J74),ISNUMBER(K74)),IF(I74&lt;0,ROUNDDOWN(K74/I74,0),""),"")</f>
        <v>-20</v>
      </c>
      <c r="N74" s="29">
        <f>IF(ISNUMBER(Sheet4!H74),Sheet4!H74/1000,"")</f>
        <v>0.84299999999999997</v>
      </c>
    </row>
    <row r="75" spans="1:14" ht="12.75" customHeight="1" x14ac:dyDescent="0.2">
      <c r="A75" t="str">
        <f>IF(OR(Sheet4!C75="?",ISNUMBER(Sheet4!C75)),Sheet4!A75,IF(B75="Σύνολα",B74,""))</f>
        <v>TK-824</v>
      </c>
      <c r="B75" s="94" t="str">
        <f>IF(OR(Sheet4!D75="?",ISNUMBER(Sheet4!D75)),MID(Sheet4!B75,4,20),IF(Sheet4!B75="________________","Σύνολα",IF(MID(Sheet4!B74,4,20)="Ballast","Σύνολα","")))</f>
        <v>Heating Oil</v>
      </c>
      <c r="C75">
        <f>IF(LEFT(A75,3)="TK-",VLOOKUP(A75,Sheet3!A:B,2,FALSE),IF(B75="Σύνολα",SUMIF(B$1:B$200,Sheet6!K74,C$1:C$200),""))</f>
        <v>6541</v>
      </c>
      <c r="D75" t="str">
        <f>IF(LEFT(A75,3)="TK-",VLOOKUP(A75,Sheet3!A:C,3,FALSE),"")</f>
        <v>479 +  84</v>
      </c>
      <c r="E75">
        <f>IF(ISNUMBER(Sheet4!D75),ROUND(Sheet4!D75,1),IF(B75="Σύνολα",SUMIF(B$1:B$200,Sheet6!K74,E$1:E$200),""))</f>
        <v>6538.4</v>
      </c>
      <c r="F75" s="31">
        <f>IF(ISNUMBER(Sheet4!E75),Sheet4!E75,"")</f>
        <v>17.5</v>
      </c>
      <c r="G75">
        <f>IF(ISNUMBER(Sheet4!G75),ROUND(Sheet4!G75,1),IF(B75="Σύνολα",SUMIF(B$1:B$200,Sheet6!K74,G$1:G$200),""))</f>
        <v>6537.3</v>
      </c>
      <c r="H75">
        <f>IF(ISNUMBER(Sheet4!F75),ROUND(Sheet4!F75,1),IF(B75="Σύνολα",SUMIF(B$1:B$200,Sheet6!K74,H$1:H$200),""))</f>
        <v>2.9</v>
      </c>
      <c r="I75">
        <f>IF(ISNUMBER(Sheet4!J75),ROUND(Sheet4!J75,1),IF(B75="Σύνολα",SUMIF(B$1:B$200,Sheet6!K74,I$1:I$200),""))</f>
        <v>-0.5</v>
      </c>
      <c r="J75">
        <f>IF(LEFT(A75,3)="TK-",VLOOKUP(A75,Sheet3!A:D,4,FALSE),IF(B75="Σύνολα",SUMIF(B$1:B$200,Sheet6!K74,J$1:J$200),""))</f>
        <v>320</v>
      </c>
      <c r="K75">
        <f>IF(B75="Σύνολα",SUMIF(B$1:B$200,Sheet6!K74,K$1:K$200),IF(ISNUMBER(E75),IF(E75&gt;J75,ROUND((E75-J75),1),""),""))</f>
        <v>6218.4</v>
      </c>
      <c r="L75" s="6" t="str">
        <f>IF(ISNUMBER(Sheet4!J75),IF(AND(ISNUMBER(H75),H75&gt;0,I75&gt;0),ROUNDDOWN(H75/I75,0),""),"")</f>
        <v/>
      </c>
      <c r="M75" s="6">
        <f>IF(AND(ISNUMBER(Sheet4!J75),ISNUMBER(K75)),IF(I75&lt;0,ROUNDDOWN(K75/I75,0),""),"")</f>
        <v>-12436</v>
      </c>
      <c r="N75" s="29">
        <f>IF(ISNUMBER(Sheet4!H75),Sheet4!H75/1000,"")</f>
        <v>0.83640000000000003</v>
      </c>
    </row>
    <row r="76" spans="1:14" ht="12.75" customHeight="1" x14ac:dyDescent="0.2">
      <c r="A76" t="str">
        <f>IF(OR(Sheet4!C76="?",ISNUMBER(Sheet4!C76)),Sheet4!A76,IF(B76="Σύνολα",B75,""))</f>
        <v>Heating Oil</v>
      </c>
      <c r="B76" s="94" t="str">
        <f>IF(OR(Sheet4!D76="?",ISNUMBER(Sheet4!D76)),MID(Sheet4!B76,4,20),IF(Sheet4!B76="________________","Σύνολα",IF(MID(Sheet4!B75,4,20)="Ballast","Σύνολα","")))</f>
        <v>Σύνολα</v>
      </c>
      <c r="C76">
        <f>IF(LEFT(A76,3)="TK-",VLOOKUP(A76,Sheet3!A:B,2,FALSE),IF(B76="Σύνολα",SUMIF(B$1:B$200,Sheet6!K75,C$1:C$200),""))</f>
        <v>21906</v>
      </c>
      <c r="D76" t="str">
        <f>IF(LEFT(A76,3)="TK-",VLOOKUP(A76,Sheet3!A:C,3,FALSE),"")</f>
        <v/>
      </c>
      <c r="E76">
        <f>IF(ISNUMBER(Sheet4!D76),ROUND(Sheet4!D76,1),IF(B76="Σύνολα",SUMIF(B$1:B$200,Sheet6!K75,E$1:E$200),""))</f>
        <v>19647.5</v>
      </c>
      <c r="F76" s="31" t="str">
        <f>IF(ISNUMBER(Sheet4!E76),Sheet4!E76,"")</f>
        <v/>
      </c>
      <c r="G76">
        <f>IF(ISNUMBER(Sheet4!G76),ROUND(Sheet4!G76,1),IF(B76="Σύνολα",SUMIF(B$1:B$200,Sheet6!K75,G$1:G$200),""))</f>
        <v>19631.099999999999</v>
      </c>
      <c r="H76">
        <f>IF(ISNUMBER(Sheet4!F76),ROUND(Sheet4!F76,1),IF(B76="Σύνολα",SUMIF(B$1:B$200,Sheet6!K75,H$1:H$200),""))</f>
        <v>2259.5</v>
      </c>
      <c r="I76">
        <f>IF(ISNUMBER(Sheet4!J76),ROUND(Sheet4!J76,1),IF(B76="Σύνολα",SUMIF(B$1:B$200,Sheet6!K75,I$1:I$200),""))</f>
        <v>1536.3</v>
      </c>
      <c r="J76">
        <f>IF(LEFT(A76,3)="TK-",VLOOKUP(A76,Sheet3!A:D,4,FALSE),IF(B76="Σύνολα",SUMIF(B$1:B$200,Sheet6!K75,J$1:J$200),""))</f>
        <v>1070</v>
      </c>
      <c r="K76">
        <f>IF(B76="Σύνολα",SUMIF(B$1:B$200,Sheet6!K75,K$1:K$200),IF(ISNUMBER(E76),IF(E76&gt;J76,ROUND((E76-J76),1),""),""))</f>
        <v>18577.5</v>
      </c>
      <c r="L76" s="6" t="str">
        <f>IF(ISNUMBER(Sheet4!J76),IF(AND(ISNUMBER(H76),H76&gt;0,I76&gt;0),ROUNDDOWN(H76/I76,0),""),"")</f>
        <v/>
      </c>
      <c r="M76" s="6" t="str">
        <f>IF(AND(ISNUMBER(Sheet4!J76),ISNUMBER(K76)),IF(I76&lt;0,ROUNDDOWN(K76/I76,0),""),"")</f>
        <v/>
      </c>
      <c r="N76" s="29" t="str">
        <f>IF(ISNUMBER(Sheet4!H76),Sheet4!H76/1000,"")</f>
        <v/>
      </c>
    </row>
    <row r="77" spans="1:14" ht="12.75" customHeight="1" x14ac:dyDescent="0.2">
      <c r="A77" t="str">
        <f>IF(OR(Sheet4!C77="?",ISNUMBER(Sheet4!C77)),Sheet4!A77,IF(B77="Σύνολα",B76,""))</f>
        <v/>
      </c>
      <c r="B77" s="94" t="str">
        <f>IF(OR(Sheet4!D77="?",ISNUMBER(Sheet4!D77)),MID(Sheet4!B77,4,20),IF(Sheet4!B77="________________","Σύνολα",IF(MID(Sheet4!B76,4,20)="Ballast","Σύνολα","")))</f>
        <v/>
      </c>
      <c r="C77" t="str">
        <f>IF(LEFT(A77,3)="TK-",VLOOKUP(A77,Sheet3!A:B,2,FALSE),IF(B77="Σύνολα",SUMIF(B$1:B$200,Sheet6!K76,C$1:C$200),""))</f>
        <v/>
      </c>
      <c r="D77" t="str">
        <f>IF(LEFT(A77,3)="TK-",VLOOKUP(A77,Sheet3!A:C,3,FALSE),"")</f>
        <v/>
      </c>
      <c r="E77" t="str">
        <f>IF(ISNUMBER(Sheet4!D77),ROUND(Sheet4!D77,1),IF(B77="Σύνολα",SUMIF(B$1:B$200,Sheet6!K76,E$1:E$200),""))</f>
        <v/>
      </c>
      <c r="F77" s="31" t="str">
        <f>IF(ISNUMBER(Sheet4!E77),Sheet4!E77,"")</f>
        <v/>
      </c>
      <c r="G77" t="str">
        <f>IF(ISNUMBER(Sheet4!G77),ROUND(Sheet4!G77,1),IF(B77="Σύνολα",SUMIF(B$1:B$200,Sheet6!K76,G$1:G$200),""))</f>
        <v/>
      </c>
      <c r="H77" t="str">
        <f>IF(ISNUMBER(Sheet4!F77),ROUND(Sheet4!F77,1),IF(B77="Σύνολα",SUMIF(B$1:B$200,Sheet6!K76,H$1:H$200),""))</f>
        <v/>
      </c>
      <c r="I77" t="str">
        <f>IF(ISNUMBER(Sheet4!J77),ROUND(Sheet4!J77,1),IF(B77="Σύνολα",SUMIF(B$1:B$200,Sheet6!K76,I$1:I$200),""))</f>
        <v/>
      </c>
      <c r="J77" t="str">
        <f>IF(LEFT(A77,3)="TK-",VLOOKUP(A77,Sheet3!A:D,4,FALSE),IF(B77="Σύνολα",SUMIF(B$1:B$200,Sheet6!K76,J$1:J$200),""))</f>
        <v/>
      </c>
      <c r="K77" t="str">
        <f>IF(B77="Σύνολα",SUMIF(B$1:B$200,Sheet6!K76,K$1:K$200),IF(ISNUMBER(E77),IF(E77&gt;J77,ROUND((E77-J77),1),""),""))</f>
        <v/>
      </c>
      <c r="L77" s="6" t="str">
        <f>IF(ISNUMBER(Sheet4!J77),IF(AND(ISNUMBER(H77),H77&gt;0,I77&gt;0),ROUNDDOWN(H77/I77,0),""),"")</f>
        <v/>
      </c>
      <c r="M77" s="6" t="str">
        <f>IF(AND(ISNUMBER(Sheet4!J77),ISNUMBER(K77)),IF(I77&lt;0,ROUNDDOWN(K77/I77,0),""),"")</f>
        <v/>
      </c>
      <c r="N77" s="29" t="str">
        <f>IF(ISNUMBER(Sheet4!H77),Sheet4!H77/1000,"")</f>
        <v/>
      </c>
    </row>
    <row r="78" spans="1:14" ht="12.75" customHeight="1" x14ac:dyDescent="0.2">
      <c r="A78" t="str">
        <f>IF(OR(Sheet4!C78="?",ISNUMBER(Sheet4!C78)),Sheet4!A78,IF(B78="Σύνολα",B77,""))</f>
        <v/>
      </c>
      <c r="B78" s="94" t="str">
        <f>IF(OR(Sheet4!D78="?",ISNUMBER(Sheet4!D78)),MID(Sheet4!B78,4,20),IF(Sheet4!B78="________________","Σύνολα",IF(MID(Sheet4!B77,4,20)="Ballast","Σύνολα","")))</f>
        <v/>
      </c>
      <c r="C78" t="str">
        <f>IF(LEFT(A78,3)="TK-",VLOOKUP(A78,Sheet3!A:B,2,FALSE),IF(B78="Σύνολα",SUMIF(B$1:B$200,Sheet6!K77,C$1:C$200),""))</f>
        <v/>
      </c>
      <c r="D78" t="str">
        <f>IF(LEFT(A78,3)="TK-",VLOOKUP(A78,Sheet3!A:C,3,FALSE),"")</f>
        <v/>
      </c>
      <c r="E78" t="str">
        <f>IF(ISNUMBER(Sheet4!D78),ROUND(Sheet4!D78,1),IF(B78="Σύνολα",SUMIF(B$1:B$200,Sheet6!K77,E$1:E$200),""))</f>
        <v/>
      </c>
      <c r="F78" s="31" t="str">
        <f>IF(ISNUMBER(Sheet4!E78),Sheet4!E78,"")</f>
        <v/>
      </c>
      <c r="G78" t="str">
        <f>IF(ISNUMBER(Sheet4!G78),ROUND(Sheet4!G78,1),IF(B78="Σύνολα",SUMIF(B$1:B$200,Sheet6!K77,G$1:G$200),""))</f>
        <v/>
      </c>
      <c r="H78" t="str">
        <f>IF(ISNUMBER(Sheet4!F78),ROUND(Sheet4!F78,1),IF(B78="Σύνολα",SUMIF(B$1:B$200,Sheet6!K77,H$1:H$200),""))</f>
        <v/>
      </c>
      <c r="I78" t="str">
        <f>IF(ISNUMBER(Sheet4!J78),ROUND(Sheet4!J78,1),IF(B78="Σύνολα",SUMIF(B$1:B$200,Sheet6!K77,I$1:I$200),""))</f>
        <v/>
      </c>
      <c r="J78" t="str">
        <f>IF(LEFT(A78,3)="TK-",VLOOKUP(A78,Sheet3!A:D,4,FALSE),IF(B78="Σύνολα",SUMIF(B$1:B$200,Sheet6!K77,J$1:J$200),""))</f>
        <v/>
      </c>
      <c r="K78" t="str">
        <f>IF(B78="Σύνολα",SUMIF(B$1:B$200,Sheet6!K77,K$1:K$200),IF(ISNUMBER(E78),IF(E78&gt;J78,ROUND((E78-J78),1),""),""))</f>
        <v/>
      </c>
      <c r="L78" s="6" t="str">
        <f>IF(ISNUMBER(Sheet4!J78),IF(AND(ISNUMBER(H78),H78&gt;0,I78&gt;0),ROUNDDOWN(H78/I78,0),""),"")</f>
        <v/>
      </c>
      <c r="M78" s="6" t="str">
        <f>IF(AND(ISNUMBER(Sheet4!J78),ISNUMBER(K78)),IF(I78&lt;0,ROUNDDOWN(K78/I78,0),""),"")</f>
        <v/>
      </c>
      <c r="N78" s="29" t="str">
        <f>IF(ISNUMBER(Sheet4!H78),Sheet4!H78/1000,"")</f>
        <v/>
      </c>
    </row>
    <row r="79" spans="1:14" ht="12.75" customHeight="1" x14ac:dyDescent="0.2">
      <c r="A79" t="str">
        <f>IF(OR(Sheet4!C79="?",ISNUMBER(Sheet4!C79)),Sheet4!A79,IF(B79="Σύνολα",B78,""))</f>
        <v>TK-826</v>
      </c>
      <c r="B79" s="94" t="str">
        <f>IF(OR(Sheet4!D79="?",ISNUMBER(Sheet4!D79)),MID(Sheet4!B79,4,20),IF(Sheet4!B79="________________","Σύνολα",IF(MID(Sheet4!B78,4,20)="Ballast","Σύνολα","")))</f>
        <v>Dies BIO</v>
      </c>
      <c r="C79">
        <f>IF(LEFT(A79,3)="TK-",VLOOKUP(A79,Sheet3!A:B,2,FALSE),IF(B79="Σύνολα",SUMIF(B$1:B$200,Sheet6!K78,C$1:C$200),""))</f>
        <v>1558</v>
      </c>
      <c r="D79" t="str">
        <f>IF(LEFT(A79,3)="TK-",VLOOKUP(A79,Sheet3!A:C,3,FALSE),"")</f>
        <v>123 + 12</v>
      </c>
      <c r="E79">
        <f>IF(ISNUMBER(Sheet4!D79),ROUND(Sheet4!D79,1),IF(B79="Σύνολα",SUMIF(B$1:B$200,Sheet6!K78,E$1:E$200),""))</f>
        <v>86.6</v>
      </c>
      <c r="F79" s="31">
        <f>IF(ISNUMBER(Sheet4!E79),Sheet4!E79,"")</f>
        <v>11.3</v>
      </c>
      <c r="G79">
        <f>IF(ISNUMBER(Sheet4!G79),ROUND(Sheet4!G79,1),IF(B79="Σύνολα",SUMIF(B$1:B$200,Sheet6!K78,G$1:G$200),""))</f>
        <v>86.9</v>
      </c>
      <c r="H79">
        <f>IF(ISNUMBER(Sheet4!F79),ROUND(Sheet4!F79,1),IF(B79="Σύνολα",SUMIF(B$1:B$200,Sheet6!K78,H$1:H$200),""))</f>
        <v>1471.4</v>
      </c>
      <c r="I79">
        <f>IF(ISNUMBER(Sheet4!J79),ROUND(Sheet4!J79,1),IF(B79="Σύνολα",SUMIF(B$1:B$200,Sheet6!K78,I$1:I$200),""))</f>
        <v>0.8</v>
      </c>
      <c r="J79">
        <f>IF(LEFT(A79,3)="TK-",VLOOKUP(A79,Sheet3!A:D,4,FALSE),IF(B79="Σύνολα",SUMIF(B$1:B$200,Sheet6!K78,J$1:J$200),""))</f>
        <v>70</v>
      </c>
      <c r="K79">
        <f>IF(B79="Σύνολα",SUMIF(B$1:B$200,Sheet6!K78,K$1:K$200),IF(ISNUMBER(E79),IF(E79&gt;J79,ROUND((E79-J79),1),""),""))</f>
        <v>16.600000000000001</v>
      </c>
      <c r="L79" s="6">
        <f>IF(ISNUMBER(Sheet4!J79),IF(AND(ISNUMBER(H79),H79&gt;0,I79&gt;0),ROUNDDOWN(H79/I79,0),""),"")</f>
        <v>1839</v>
      </c>
      <c r="M79" s="6" t="str">
        <f>IF(AND(ISNUMBER(Sheet4!J79),ISNUMBER(K79)),IF(I79&lt;0,ROUNDDOWN(K79/I79,0),""),"")</f>
        <v/>
      </c>
      <c r="N79" s="29">
        <f>IF(ISNUMBER(Sheet4!H79),Sheet4!H79/1000,"")</f>
        <v>0.82769999999999999</v>
      </c>
    </row>
    <row r="80" spans="1:14" ht="12.75" customHeight="1" x14ac:dyDescent="0.2">
      <c r="A80" t="str">
        <f>IF(OR(Sheet4!C80="?",ISNUMBER(Sheet4!C80)),Sheet4!A80,IF(B80="Σύνολα",B79,""))</f>
        <v>TK-836</v>
      </c>
      <c r="B80" s="94" t="str">
        <f>IF(OR(Sheet4!D80="?",ISNUMBER(Sheet4!D80)),MID(Sheet4!B80,4,20),IF(Sheet4!B80="________________","Σύνολα",IF(MID(Sheet4!B79,4,20)="Ballast","Σύνολα","")))</f>
        <v>Dies BIO</v>
      </c>
      <c r="C80">
        <f>IF(LEFT(A80,3)="TK-",VLOOKUP(A80,Sheet3!A:B,2,FALSE),IF(B80="Σύνολα",SUMIF(B$1:B$200,Sheet6!K79,C$1:C$200),""))</f>
        <v>8202</v>
      </c>
      <c r="D80" t="str">
        <f>IF(LEFT(A80,3)="TK-",VLOOKUP(A80,Sheet3!A:C,3,FALSE),"")</f>
        <v>604 + 45</v>
      </c>
      <c r="E80">
        <f>IF(ISNUMBER(Sheet4!D80),ROUND(Sheet4!D80,1),IF(B80="Σύνολα",SUMIF(B$1:B$200,Sheet6!K79,E$1:E$200),""))</f>
        <v>2225.6999999999998</v>
      </c>
      <c r="F80" s="31">
        <f>IF(ISNUMBER(Sheet4!E80),Sheet4!E80,"")</f>
        <v>12.8</v>
      </c>
      <c r="G80">
        <f>IF(ISNUMBER(Sheet4!G80),ROUND(Sheet4!G80,1),IF(B80="Σύνολα",SUMIF(B$1:B$200,Sheet6!K79,G$1:G$200),""))</f>
        <v>2190.5</v>
      </c>
      <c r="H80">
        <f>IF(ISNUMBER(Sheet4!F80),ROUND(Sheet4!F80,1),IF(B80="Σύνολα",SUMIF(B$1:B$200,Sheet6!K79,H$1:H$200),""))</f>
        <v>5976.2</v>
      </c>
      <c r="I80">
        <f>IF(ISNUMBER(Sheet4!J80),ROUND(Sheet4!J80,1),IF(B80="Σύνολα",SUMIF(B$1:B$200,Sheet6!K79,I$1:I$200),""))</f>
        <v>-71.400000000000006</v>
      </c>
      <c r="J80">
        <f>IF(LEFT(A80,3)="TK-",VLOOKUP(A80,Sheet3!A:D,4,FALSE),IF(B80="Σύνολα",SUMIF(B$1:B$200,Sheet6!K79,J$1:J$200),""))</f>
        <v>530</v>
      </c>
      <c r="K80">
        <f>IF(B80="Σύνολα",SUMIF(B$1:B$200,Sheet6!K79,K$1:K$200),IF(ISNUMBER(E80),IF(E80&gt;J80,ROUND((E80-J80),1),""),""))</f>
        <v>1695.7</v>
      </c>
      <c r="L80" s="6" t="str">
        <f>IF(ISNUMBER(Sheet4!J80),IF(AND(ISNUMBER(H80),H80&gt;0,I80&gt;0),ROUNDDOWN(H80/I80,0),""),"")</f>
        <v/>
      </c>
      <c r="M80" s="6">
        <f>IF(AND(ISNUMBER(Sheet4!J80),ISNUMBER(K80)),IF(I80&lt;0,ROUNDDOWN(K80/I80,0),""),"")</f>
        <v>-23</v>
      </c>
      <c r="N80" s="29">
        <f>IF(ISNUMBER(Sheet4!H80),Sheet4!H80/1000,"")</f>
        <v>0.8276</v>
      </c>
    </row>
    <row r="81" spans="1:14" ht="12.75" customHeight="1" x14ac:dyDescent="0.2">
      <c r="A81" t="str">
        <f>IF(OR(Sheet4!C81="?",ISNUMBER(Sheet4!C81)),Sheet4!A81,IF(B81="Σύνολα",B80,""))</f>
        <v>Dies BIO</v>
      </c>
      <c r="B81" s="94" t="str">
        <f>IF(OR(Sheet4!D81="?",ISNUMBER(Sheet4!D81)),MID(Sheet4!B81,4,20),IF(Sheet4!B81="________________","Σύνολα",IF(MID(Sheet4!B80,4,20)="Ballast","Σύνολα","")))</f>
        <v>Σύνολα</v>
      </c>
      <c r="C81">
        <f>IF(LEFT(A81,3)="TK-",VLOOKUP(A81,Sheet3!A:B,2,FALSE),IF(B81="Σύνολα",SUMIF(B$1:B$200,Sheet6!K80,C$1:C$200),""))</f>
        <v>9760</v>
      </c>
      <c r="D81" t="str">
        <f>IF(LEFT(A81,3)="TK-",VLOOKUP(A81,Sheet3!A:C,3,FALSE),"")</f>
        <v/>
      </c>
      <c r="E81">
        <f>IF(ISNUMBER(Sheet4!D81),ROUND(Sheet4!D81,1),IF(B81="Σύνολα",SUMIF(B$1:B$200,Sheet6!K80,E$1:E$200),""))</f>
        <v>2312.2999999999997</v>
      </c>
      <c r="F81" s="31" t="str">
        <f>IF(ISNUMBER(Sheet4!E81),Sheet4!E81,"")</f>
        <v/>
      </c>
      <c r="G81">
        <f>IF(ISNUMBER(Sheet4!G81),ROUND(Sheet4!G81,1),IF(B81="Σύνολα",SUMIF(B$1:B$200,Sheet6!K80,G$1:G$200),""))</f>
        <v>2277.4</v>
      </c>
      <c r="H81">
        <f>IF(ISNUMBER(Sheet4!F81),ROUND(Sheet4!F81,1),IF(B81="Σύνολα",SUMIF(B$1:B$200,Sheet6!K80,H$1:H$200),""))</f>
        <v>7447.6</v>
      </c>
      <c r="I81">
        <f>IF(ISNUMBER(Sheet4!J81),ROUND(Sheet4!J81,1),IF(B81="Σύνολα",SUMIF(B$1:B$200,Sheet6!K80,I$1:I$200),""))</f>
        <v>-70.600000000000009</v>
      </c>
      <c r="J81">
        <f>IF(LEFT(A81,3)="TK-",VLOOKUP(A81,Sheet3!A:D,4,FALSE),IF(B81="Σύνολα",SUMIF(B$1:B$200,Sheet6!K80,J$1:J$200),""))</f>
        <v>600</v>
      </c>
      <c r="K81">
        <f>IF(B81="Σύνολα",SUMIF(B$1:B$200,Sheet6!K80,K$1:K$200),IF(ISNUMBER(E81),IF(E81&gt;J81,ROUND((E81-J81),1),""),""))</f>
        <v>1712.3</v>
      </c>
      <c r="L81" s="6" t="str">
        <f>IF(ISNUMBER(Sheet4!J81),IF(AND(ISNUMBER(H81),H81&gt;0,I81&gt;0),ROUNDDOWN(H81/I81,0),""),"")</f>
        <v/>
      </c>
      <c r="M81" s="6" t="str">
        <f>IF(AND(ISNUMBER(Sheet4!J81),ISNUMBER(K81)),IF(I81&lt;0,ROUNDDOWN(K81/I81,0),""),"")</f>
        <v/>
      </c>
      <c r="N81" s="29" t="str">
        <f>IF(ISNUMBER(Sheet4!H81),Sheet4!H81/1000,"")</f>
        <v/>
      </c>
    </row>
    <row r="82" spans="1:14" ht="12.75" customHeight="1" x14ac:dyDescent="0.2">
      <c r="A82" t="str">
        <f>IF(OR(Sheet4!C82="?",ISNUMBER(Sheet4!C82)),Sheet4!A82,IF(B82="Σύνολα",B81,""))</f>
        <v/>
      </c>
      <c r="B82" s="94" t="str">
        <f>IF(OR(Sheet4!D82="?",ISNUMBER(Sheet4!D82)),MID(Sheet4!B82,4,20),IF(Sheet4!B82="________________","Σύνολα",IF(MID(Sheet4!B81,4,20)="Ballast","Σύνολα","")))</f>
        <v/>
      </c>
      <c r="C82" t="str">
        <f>IF(LEFT(A82,3)="TK-",VLOOKUP(A82,Sheet3!A:B,2,FALSE),IF(B82="Σύνολα",SUMIF(B$1:B$200,Sheet6!K81,C$1:C$200),""))</f>
        <v/>
      </c>
      <c r="D82" t="str">
        <f>IF(LEFT(A82,3)="TK-",VLOOKUP(A82,Sheet3!A:C,3,FALSE),"")</f>
        <v/>
      </c>
      <c r="E82" t="str">
        <f>IF(ISNUMBER(Sheet4!D82),ROUND(Sheet4!D82,1),IF(B82="Σύνολα",SUMIF(B$1:B$200,Sheet6!K81,E$1:E$200),""))</f>
        <v/>
      </c>
      <c r="F82" s="31" t="str">
        <f>IF(ISNUMBER(Sheet4!E82),Sheet4!E82,"")</f>
        <v/>
      </c>
      <c r="G82" t="str">
        <f>IF(ISNUMBER(Sheet4!G82),ROUND(Sheet4!G82,1),IF(B82="Σύνολα",SUMIF(B$1:B$200,Sheet6!K81,G$1:G$200),""))</f>
        <v/>
      </c>
      <c r="H82" t="str">
        <f>IF(ISNUMBER(Sheet4!F82),ROUND(Sheet4!F82,1),IF(B82="Σύνολα",SUMIF(B$1:B$200,Sheet6!K81,H$1:H$200),""))</f>
        <v/>
      </c>
      <c r="I82" t="str">
        <f>IF(ISNUMBER(Sheet4!J82),ROUND(Sheet4!J82,1),IF(B82="Σύνολα",SUMIF(B$1:B$200,Sheet6!K81,I$1:I$200),""))</f>
        <v/>
      </c>
      <c r="J82" t="str">
        <f>IF(LEFT(A82,3)="TK-",VLOOKUP(A82,Sheet3!A:D,4,FALSE),IF(B82="Σύνολα",SUMIF(B$1:B$200,Sheet6!K81,J$1:J$200),""))</f>
        <v/>
      </c>
      <c r="K82" t="str">
        <f>IF(B82="Σύνολα",SUMIF(B$1:B$200,Sheet6!K81,K$1:K$200),IF(ISNUMBER(E82),IF(E82&gt;J82,ROUND((E82-J82),1),""),""))</f>
        <v/>
      </c>
      <c r="L82" s="6" t="str">
        <f>IF(ISNUMBER(Sheet4!J82),IF(AND(ISNUMBER(H82),H82&gt;0,I82&gt;0),ROUNDDOWN(H82/I82,0),""),"")</f>
        <v/>
      </c>
      <c r="M82" s="6" t="str">
        <f>IF(AND(ISNUMBER(Sheet4!J82),ISNUMBER(K82)),IF(I82&lt;0,ROUNDDOWN(K82/I82,0),""),"")</f>
        <v/>
      </c>
      <c r="N82" s="29" t="str">
        <f>IF(ISNUMBER(Sheet4!H82),Sheet4!H82/1000,"")</f>
        <v/>
      </c>
    </row>
    <row r="83" spans="1:14" ht="12.75" customHeight="1" x14ac:dyDescent="0.2">
      <c r="A83" t="str">
        <f>IF(OR(Sheet4!C83="?",ISNUMBER(Sheet4!C83)),Sheet4!A83,IF(B83="Σύνολα",B82,""))</f>
        <v/>
      </c>
      <c r="B83" s="94" t="str">
        <f>IF(OR(Sheet4!D83="?",ISNUMBER(Sheet4!D83)),MID(Sheet4!B83,4,20),IF(Sheet4!B83="________________","Σύνολα",IF(MID(Sheet4!B82,4,20)="Ballast","Σύνολα","")))</f>
        <v/>
      </c>
      <c r="C83" t="str">
        <f>IF(LEFT(A83,3)="TK-",VLOOKUP(A83,Sheet3!A:B,2,FALSE),IF(B83="Σύνολα",SUMIF(B$1:B$200,Sheet6!K82,C$1:C$200),""))</f>
        <v/>
      </c>
      <c r="D83" t="str">
        <f>IF(LEFT(A83,3)="TK-",VLOOKUP(A83,Sheet3!A:C,3,FALSE),"")</f>
        <v/>
      </c>
      <c r="E83" t="str">
        <f>IF(ISNUMBER(Sheet4!D83),ROUND(Sheet4!D83,1),IF(B83="Σύνολα",SUMIF(B$1:B$200,Sheet6!K82,E$1:E$200),""))</f>
        <v/>
      </c>
      <c r="F83" s="31" t="str">
        <f>IF(ISNUMBER(Sheet4!E83),Sheet4!E83,"")</f>
        <v/>
      </c>
      <c r="G83" t="str">
        <f>IF(ISNUMBER(Sheet4!G83),ROUND(Sheet4!G83,1),IF(B83="Σύνολα",SUMIF(B$1:B$200,Sheet6!K82,G$1:G$200),""))</f>
        <v/>
      </c>
      <c r="H83" t="str">
        <f>IF(ISNUMBER(Sheet4!F83),ROUND(Sheet4!F83,1),IF(B83="Σύνολα",SUMIF(B$1:B$200,Sheet6!K82,H$1:H$200),""))</f>
        <v/>
      </c>
      <c r="I83" t="str">
        <f>IF(ISNUMBER(Sheet4!J83),ROUND(Sheet4!J83,1),IF(B83="Σύνολα",SUMIF(B$1:B$200,Sheet6!K82,I$1:I$200),""))</f>
        <v/>
      </c>
      <c r="J83" t="str">
        <f>IF(LEFT(A83,3)="TK-",VLOOKUP(A83,Sheet3!A:D,4,FALSE),IF(B83="Σύνολα",SUMIF(B$1:B$200,Sheet6!K82,J$1:J$200),""))</f>
        <v/>
      </c>
      <c r="K83" t="str">
        <f>IF(B83="Σύνολα",SUMIF(B$1:B$200,Sheet6!K82,K$1:K$200),IF(ISNUMBER(E83),IF(E83&gt;J83,ROUND((E83-J83),1),""),""))</f>
        <v/>
      </c>
      <c r="L83" s="6" t="str">
        <f>IF(ISNUMBER(Sheet4!J83),IF(AND(ISNUMBER(H83),H83&gt;0,I83&gt;0),ROUNDDOWN(H83/I83,0),""),"")</f>
        <v/>
      </c>
      <c r="M83" s="6" t="str">
        <f>IF(AND(ISNUMBER(Sheet4!J83),ISNUMBER(K83)),IF(I83&lt;0,ROUNDDOWN(K83/I83,0),""),"")</f>
        <v/>
      </c>
      <c r="N83" s="29" t="str">
        <f>IF(ISNUMBER(Sheet4!H83),Sheet4!H83/1000,"")</f>
        <v/>
      </c>
    </row>
    <row r="84" spans="1:14" ht="12.75" customHeight="1" x14ac:dyDescent="0.2">
      <c r="A84" t="str">
        <f>IF(OR(Sheet4!C84="?",ISNUMBER(Sheet4!C84)),Sheet4!A84,IF(B84="Σύνολα",B83,""))</f>
        <v>TK-825</v>
      </c>
      <c r="B84" s="94" t="str">
        <f>IF(OR(Sheet4!D84="?",ISNUMBER(Sheet4!D84)),MID(Sheet4!B84,4,20),IF(Sheet4!B84="________________","Σύνολα",IF(MID(Sheet4!B83,4,20)="Ballast","Σύνολα","")))</f>
        <v>Diesel</v>
      </c>
      <c r="C84">
        <f>IF(LEFT(A84,3)="TK-",VLOOKUP(A84,Sheet3!A:B,2,FALSE),IF(B84="Σύνολα",SUMIF(B$1:B$200,Sheet6!K83,C$1:C$200),""))</f>
        <v>10499</v>
      </c>
      <c r="D84" t="str">
        <f>IF(LEFT(A84,3)="TK-",VLOOKUP(A84,Sheet3!A:C,3,FALSE),"")</f>
        <v>744 + 155</v>
      </c>
      <c r="E84">
        <f>IF(ISNUMBER(Sheet4!D84),ROUND(Sheet4!D84,1),IF(B84="Σύνολα",SUMIF(B$1:B$200,Sheet6!K83,E$1:E$200),""))</f>
        <v>2709.2</v>
      </c>
      <c r="F84" s="31">
        <f>IF(ISNUMBER(Sheet4!E84),Sheet4!E84,"")</f>
        <v>17.7</v>
      </c>
      <c r="G84">
        <f>IF(ISNUMBER(Sheet4!G84),ROUND(Sheet4!G84,1),IF(B84="Σύνολα",SUMIF(B$1:B$200,Sheet6!K83,G$1:G$200),""))</f>
        <v>2702.8</v>
      </c>
      <c r="H84">
        <f>IF(ISNUMBER(Sheet4!F84),ROUND(Sheet4!F84,1),IF(B84="Σύνολα",SUMIF(B$1:B$200,Sheet6!K83,H$1:H$200),""))</f>
        <v>7789.6</v>
      </c>
      <c r="I84">
        <f>IF(ISNUMBER(Sheet4!J84),ROUND(Sheet4!J84,1),IF(B84="Σύνολα",SUMIF(B$1:B$200,Sheet6!K83,I$1:I$200),""))</f>
        <v>-0.1</v>
      </c>
      <c r="J84">
        <f>IF(LEFT(A84,3)="TK-",VLOOKUP(A84,Sheet3!A:D,4,FALSE),IF(B84="Σύνολα",SUMIF(B$1:B$200,Sheet6!K83,J$1:J$200),""))</f>
        <v>530</v>
      </c>
      <c r="K84">
        <f>IF(B84="Σύνολα",SUMIF(B$1:B$200,Sheet6!K83,K$1:K$200),IF(ISNUMBER(E84),IF(E84&gt;J84,ROUND((E84-J84),1),""),""))</f>
        <v>2179.1999999999998</v>
      </c>
      <c r="L84" s="6" t="str">
        <f>IF(ISNUMBER(Sheet4!J84),IF(AND(ISNUMBER(H84),H84&gt;0,I84&gt;0),ROUNDDOWN(H84/I84,0),""),"")</f>
        <v/>
      </c>
      <c r="M84" s="6">
        <f>IF(AND(ISNUMBER(Sheet4!J84),ISNUMBER(K84)),IF(I84&lt;0,ROUNDDOWN(K84/I84,0),""),"")</f>
        <v>-21792</v>
      </c>
      <c r="N84" s="29">
        <f>IF(ISNUMBER(Sheet4!H84),Sheet4!H84/1000,"")</f>
        <v>0.82729999999999992</v>
      </c>
    </row>
    <row r="85" spans="1:14" ht="12.75" customHeight="1" x14ac:dyDescent="0.2">
      <c r="A85" t="str">
        <f>IF(OR(Sheet4!C85="?",ISNUMBER(Sheet4!C85)),Sheet4!A85,IF(B85="Σύνολα",B84,""))</f>
        <v>TK-846</v>
      </c>
      <c r="B85" s="94" t="str">
        <f>IF(OR(Sheet4!D85="?",ISNUMBER(Sheet4!D85)),MID(Sheet4!B85,4,20),IF(Sheet4!B85="________________","Σύνολα",IF(MID(Sheet4!B84,4,20)="Ballast","Σύνολα","")))</f>
        <v>Diesel</v>
      </c>
      <c r="C85">
        <f>IF(LEFT(A85,3)="TK-",VLOOKUP(A85,Sheet3!A:B,2,FALSE),IF(B85="Σύνολα",SUMIF(B$1:B$200,Sheet6!K84,C$1:C$200),""))</f>
        <v>18674</v>
      </c>
      <c r="D85" t="str">
        <f>IF(LEFT(A85,3)="TK-",VLOOKUP(A85,Sheet3!A:C,3,FALSE),"")</f>
        <v>1311+ 300</v>
      </c>
      <c r="E85">
        <f>IF(ISNUMBER(Sheet4!D85),ROUND(Sheet4!D85,1),IF(B85="Σύνολα",SUMIF(B$1:B$200,Sheet6!K84,E$1:E$200),""))</f>
        <v>9706.7999999999993</v>
      </c>
      <c r="F85" s="31">
        <f>IF(ISNUMBER(Sheet4!E85),Sheet4!E85,"")</f>
        <v>20.100000000000001</v>
      </c>
      <c r="G85">
        <f>IF(ISNUMBER(Sheet4!G85),ROUND(Sheet4!G85,1),IF(B85="Σύνολα",SUMIF(B$1:B$200,Sheet6!K84,G$1:G$200),""))</f>
        <v>9669.5</v>
      </c>
      <c r="H85">
        <f>IF(ISNUMBER(Sheet4!F85),ROUND(Sheet4!F85,1),IF(B85="Σύνολα",SUMIF(B$1:B$200,Sheet6!K84,H$1:H$200),""))</f>
        <v>8968</v>
      </c>
      <c r="I85">
        <f>IF(ISNUMBER(Sheet4!J85),ROUND(Sheet4!J85,1),IF(B85="Σύνολα",SUMIF(B$1:B$200,Sheet6!K84,I$1:I$200),""))</f>
        <v>-2281.5</v>
      </c>
      <c r="J85">
        <f>IF(LEFT(A85,3)="TK-",VLOOKUP(A85,Sheet3!A:D,4,FALSE),IF(B85="Σύνολα",SUMIF(B$1:B$200,Sheet6!K84,J$1:J$200),""))</f>
        <v>1100</v>
      </c>
      <c r="K85">
        <f>IF(B85="Σύνολα",SUMIF(B$1:B$200,Sheet6!K84,K$1:K$200),IF(ISNUMBER(E85),IF(E85&gt;J85,ROUND((E85-J85),1),""),""))</f>
        <v>8606.7999999999993</v>
      </c>
      <c r="L85" s="6" t="str">
        <f>IF(ISNUMBER(Sheet4!J85),IF(AND(ISNUMBER(H85),H85&gt;0,I85&gt;0),ROUNDDOWN(H85/I85,0),""),"")</f>
        <v/>
      </c>
      <c r="M85" s="6">
        <f>IF(AND(ISNUMBER(Sheet4!J85),ISNUMBER(K85)),IF(I85&lt;0,ROUNDDOWN(K85/I85,0),""),"")</f>
        <v>-3</v>
      </c>
      <c r="N85" s="29">
        <f>IF(ISNUMBER(Sheet4!H85),Sheet4!H85/1000,"")</f>
        <v>0.82629999999999992</v>
      </c>
    </row>
    <row r="86" spans="1:14" ht="12.75" customHeight="1" x14ac:dyDescent="0.2">
      <c r="A86" t="str">
        <f>IF(OR(Sheet4!C86="?",ISNUMBER(Sheet4!C86)),Sheet4!A86,IF(B86="Σύνολα",B85,""))</f>
        <v>TK-857</v>
      </c>
      <c r="B86" s="94" t="str">
        <f>IF(OR(Sheet4!D86="?",ISNUMBER(Sheet4!D86)),MID(Sheet4!B86,4,20),IF(Sheet4!B86="________________","Σύνολα",IF(MID(Sheet4!B85,4,20)="Ballast","Σύνολα","")))</f>
        <v>Diesel</v>
      </c>
      <c r="C86">
        <f>IF(LEFT(A86,3)="TK-",VLOOKUP(A86,Sheet3!A:B,2,FALSE),IF(B86="Σύνολα",SUMIF(B$1:B$200,Sheet6!K85,C$1:C$200),""))</f>
        <v>13675</v>
      </c>
      <c r="D86" t="str">
        <f>IF(LEFT(A86,3)="TK-",VLOOKUP(A86,Sheet3!A:C,3,FALSE),"")</f>
        <v>964 + 182</v>
      </c>
      <c r="E86">
        <f>IF(ISNUMBER(Sheet4!D86),ROUND(Sheet4!D86,1),IF(B86="Σύνολα",SUMIF(B$1:B$200,Sheet6!K85,E$1:E$200),""))</f>
        <v>5693.5</v>
      </c>
      <c r="F86" s="31">
        <f>IF(ISNUMBER(Sheet4!E86),Sheet4!E86,"")</f>
        <v>22.6</v>
      </c>
      <c r="G86">
        <f>IF(ISNUMBER(Sheet4!G86),ROUND(Sheet4!G86,1),IF(B86="Σύνολα",SUMIF(B$1:B$200,Sheet6!K85,G$1:G$200),""))</f>
        <v>5656.8</v>
      </c>
      <c r="H86">
        <f>IF(ISNUMBER(Sheet4!F86),ROUND(Sheet4!F86,1),IF(B86="Σύνολα",SUMIF(B$1:B$200,Sheet6!K85,H$1:H$200),""))</f>
        <v>7982.5</v>
      </c>
      <c r="I86">
        <f>IF(ISNUMBER(Sheet4!J86),ROUND(Sheet4!J86,1),IF(B86="Σύνολα",SUMIF(B$1:B$200,Sheet6!K85,I$1:I$200),""))</f>
        <v>202.1</v>
      </c>
      <c r="J86">
        <f>IF(LEFT(A86,3)="TK-",VLOOKUP(A86,Sheet3!A:D,4,FALSE),IF(B86="Σύνολα",SUMIF(B$1:B$200,Sheet6!K85,J$1:J$200),""))</f>
        <v>650</v>
      </c>
      <c r="K86">
        <f>IF(B86="Σύνολα",SUMIF(B$1:B$200,Sheet6!K85,K$1:K$200),IF(ISNUMBER(E86),IF(E86&gt;J86,ROUND((E86-J86),1),""),""))</f>
        <v>5043.5</v>
      </c>
      <c r="L86" s="6">
        <f>IF(ISNUMBER(Sheet4!J86),IF(AND(ISNUMBER(H86),H86&gt;0,I86&gt;0),ROUNDDOWN(H86/I86,0),""),"")</f>
        <v>39</v>
      </c>
      <c r="M86" s="6" t="str">
        <f>IF(AND(ISNUMBER(Sheet4!J86),ISNUMBER(K86)),IF(I86&lt;0,ROUNDDOWN(K86/I86,0),""),"")</f>
        <v/>
      </c>
      <c r="N86" s="29">
        <f>IF(ISNUMBER(Sheet4!H86),Sheet4!H86/1000,"")</f>
        <v>0.8266</v>
      </c>
    </row>
    <row r="87" spans="1:14" ht="12.75" customHeight="1" x14ac:dyDescent="0.2">
      <c r="A87" t="str">
        <f>IF(OR(Sheet4!C87="?",ISNUMBER(Sheet4!C87)),Sheet4!A87,IF(B87="Σύνολα",B86,""))</f>
        <v>Diesel</v>
      </c>
      <c r="B87" s="94" t="str">
        <f>IF(OR(Sheet4!D87="?",ISNUMBER(Sheet4!D87)),MID(Sheet4!B87,4,20),IF(Sheet4!B87="________________","Σύνολα",IF(MID(Sheet4!B86,4,20)="Ballast","Σύνολα","")))</f>
        <v>Σύνολα</v>
      </c>
      <c r="C87">
        <f>IF(LEFT(A87,3)="TK-",VLOOKUP(A87,Sheet3!A:B,2,FALSE),IF(B87="Σύνολα",SUMIF(B$1:B$200,Sheet6!K86,C$1:C$200),""))</f>
        <v>42848</v>
      </c>
      <c r="D87" t="str">
        <f>IF(LEFT(A87,3)="TK-",VLOOKUP(A87,Sheet3!A:C,3,FALSE),"")</f>
        <v/>
      </c>
      <c r="E87">
        <f>IF(ISNUMBER(Sheet4!D87),ROUND(Sheet4!D87,1),IF(B87="Σύνολα",SUMIF(B$1:B$200,Sheet6!K86,E$1:E$200),""))</f>
        <v>18109.5</v>
      </c>
      <c r="F87" s="31" t="str">
        <f>IF(ISNUMBER(Sheet4!E87),Sheet4!E87,"")</f>
        <v/>
      </c>
      <c r="G87">
        <f>IF(ISNUMBER(Sheet4!G87),ROUND(Sheet4!G87,1),IF(B87="Σύνολα",SUMIF(B$1:B$200,Sheet6!K86,G$1:G$200),""))</f>
        <v>18029.099999999999</v>
      </c>
      <c r="H87">
        <f>IF(ISNUMBER(Sheet4!F87),ROUND(Sheet4!F87,1),IF(B87="Σύνολα",SUMIF(B$1:B$200,Sheet6!K86,H$1:H$200),""))</f>
        <v>24740.1</v>
      </c>
      <c r="I87">
        <f>IF(ISNUMBER(Sheet4!J87),ROUND(Sheet4!J87,1),IF(B87="Σύνολα",SUMIF(B$1:B$200,Sheet6!K86,I$1:I$200),""))</f>
        <v>-2079.5</v>
      </c>
      <c r="J87">
        <f>IF(LEFT(A87,3)="TK-",VLOOKUP(A87,Sheet3!A:D,4,FALSE),IF(B87="Σύνολα",SUMIF(B$1:B$200,Sheet6!K86,J$1:J$200),""))</f>
        <v>2280</v>
      </c>
      <c r="K87">
        <f>IF(B87="Σύνολα",SUMIF(B$1:B$200,Sheet6!K86,K$1:K$200),IF(ISNUMBER(E87),IF(E87&gt;J87,ROUND((E87-J87),1),""),""))</f>
        <v>15829.5</v>
      </c>
      <c r="L87" s="6" t="str">
        <f>IF(ISNUMBER(Sheet4!J87),IF(AND(ISNUMBER(H87),H87&gt;0,I87&gt;0),ROUNDDOWN(H87/I87,0),""),"")</f>
        <v/>
      </c>
      <c r="M87" s="6" t="str">
        <f>IF(AND(ISNUMBER(Sheet4!J87),ISNUMBER(K87)),IF(I87&lt;0,ROUNDDOWN(K87/I87,0),""),"")</f>
        <v/>
      </c>
      <c r="N87" s="29" t="str">
        <f>IF(ISNUMBER(Sheet4!H87),Sheet4!H87/1000,"")</f>
        <v/>
      </c>
    </row>
    <row r="88" spans="1:14" ht="12.75" customHeight="1" x14ac:dyDescent="0.2">
      <c r="A88" t="str">
        <f>IF(OR(Sheet4!C88="?",ISNUMBER(Sheet4!C88)),Sheet4!A88,IF(B88="Σύνολα",B87,""))</f>
        <v/>
      </c>
      <c r="B88" s="94" t="str">
        <f>IF(OR(Sheet4!D88="?",ISNUMBER(Sheet4!D88)),MID(Sheet4!B88,4,20),IF(Sheet4!B88="________________","Σύνολα",IF(MID(Sheet4!B87,4,20)="Ballast","Σύνολα","")))</f>
        <v/>
      </c>
      <c r="C88" t="str">
        <f>IF(LEFT(A88,3)="TK-",VLOOKUP(A88,Sheet3!A:B,2,FALSE),IF(B88="Σύνολα",SUMIF(B$1:B$200,Sheet6!K87,C$1:C$200),""))</f>
        <v/>
      </c>
      <c r="D88" t="str">
        <f>IF(LEFT(A88,3)="TK-",VLOOKUP(A88,Sheet3!A:C,3,FALSE),"")</f>
        <v/>
      </c>
      <c r="E88" t="str">
        <f>IF(ISNUMBER(Sheet4!D88),ROUND(Sheet4!D88,1),IF(B88="Σύνολα",SUMIF(B$1:B$200,Sheet6!K87,E$1:E$200),""))</f>
        <v/>
      </c>
      <c r="F88" s="31" t="str">
        <f>IF(ISNUMBER(Sheet4!E88),Sheet4!E88,"")</f>
        <v/>
      </c>
      <c r="G88" t="str">
        <f>IF(ISNUMBER(Sheet4!G88),ROUND(Sheet4!G88,1),IF(B88="Σύνολα",SUMIF(B$1:B$200,Sheet6!K87,G$1:G$200),""))</f>
        <v/>
      </c>
      <c r="H88" t="str">
        <f>IF(ISNUMBER(Sheet4!F88),ROUND(Sheet4!F88,1),IF(B88="Σύνολα",SUMIF(B$1:B$200,Sheet6!K87,H$1:H$200),""))</f>
        <v/>
      </c>
      <c r="I88" t="str">
        <f>IF(ISNUMBER(Sheet4!J88),ROUND(Sheet4!J88,1),IF(B88="Σύνολα",SUMIF(B$1:B$200,Sheet6!K87,I$1:I$200),""))</f>
        <v/>
      </c>
      <c r="J88" t="str">
        <f>IF(LEFT(A88,3)="TK-",VLOOKUP(A88,Sheet3!A:D,4,FALSE),IF(B88="Σύνολα",SUMIF(B$1:B$200,Sheet6!K87,J$1:J$200),""))</f>
        <v/>
      </c>
      <c r="K88" t="str">
        <f>IF(B88="Σύνολα",SUMIF(B$1:B$200,Sheet6!K87,K$1:K$200),IF(ISNUMBER(E88),IF(E88&gt;J88,ROUND((E88-J88),1),""),""))</f>
        <v/>
      </c>
      <c r="L88" s="6" t="str">
        <f>IF(ISNUMBER(Sheet4!J88),IF(AND(ISNUMBER(H88),H88&gt;0,I88&gt;0),ROUNDDOWN(H88/I88,0),""),"")</f>
        <v/>
      </c>
      <c r="M88" s="6" t="str">
        <f>IF(AND(ISNUMBER(Sheet4!J88),ISNUMBER(K88)),IF(I88&lt;0,ROUNDDOWN(K88/I88,0),""),"")</f>
        <v/>
      </c>
      <c r="N88" s="29" t="str">
        <f>IF(ISNUMBER(Sheet4!H88),Sheet4!H88/1000,"")</f>
        <v/>
      </c>
    </row>
    <row r="89" spans="1:14" ht="12.75" customHeight="1" x14ac:dyDescent="0.2">
      <c r="A89" t="str">
        <f>IF(OR(Sheet4!C89="?",ISNUMBER(Sheet4!C89)),Sheet4!A89,IF(B89="Σύνολα",B88,""))</f>
        <v/>
      </c>
      <c r="B89" s="94" t="str">
        <f>IF(OR(Sheet4!D89="?",ISNUMBER(Sheet4!D89)),MID(Sheet4!B89,4,20),IF(Sheet4!B89="________________","Σύνολα",IF(MID(Sheet4!B88,4,20)="Ballast","Σύνολα","")))</f>
        <v/>
      </c>
      <c r="C89" t="str">
        <f>IF(LEFT(A89,3)="TK-",VLOOKUP(A89,Sheet3!A:B,2,FALSE),IF(B89="Σύνολα",SUMIF(B$1:B$200,Sheet6!K88,C$1:C$200),""))</f>
        <v/>
      </c>
      <c r="D89" t="str">
        <f>IF(LEFT(A89,3)="TK-",VLOOKUP(A89,Sheet3!A:C,3,FALSE),"")</f>
        <v/>
      </c>
      <c r="E89" t="str">
        <f>IF(ISNUMBER(Sheet4!D89),ROUND(Sheet4!D89,1),IF(B89="Σύνολα",SUMIF(B$1:B$200,Sheet6!K88,E$1:E$200),""))</f>
        <v/>
      </c>
      <c r="F89" s="31" t="str">
        <f>IF(ISNUMBER(Sheet4!E89),Sheet4!E89,"")</f>
        <v/>
      </c>
      <c r="G89" t="str">
        <f>IF(ISNUMBER(Sheet4!G89),ROUND(Sheet4!G89,1),IF(B89="Σύνολα",SUMIF(B$1:B$200,Sheet6!K88,G$1:G$200),""))</f>
        <v/>
      </c>
      <c r="H89" t="str">
        <f>IF(ISNUMBER(Sheet4!F89),ROUND(Sheet4!F89,1),IF(B89="Σύνολα",SUMIF(B$1:B$200,Sheet6!K88,H$1:H$200),""))</f>
        <v/>
      </c>
      <c r="I89" t="str">
        <f>IF(ISNUMBER(Sheet4!J89),ROUND(Sheet4!J89,1),IF(B89="Σύνολα",SUMIF(B$1:B$200,Sheet6!K88,I$1:I$200),""))</f>
        <v/>
      </c>
      <c r="J89" t="str">
        <f>IF(LEFT(A89,3)="TK-",VLOOKUP(A89,Sheet3!A:D,4,FALSE),IF(B89="Σύνολα",SUMIF(B$1:B$200,Sheet6!K88,J$1:J$200),""))</f>
        <v/>
      </c>
      <c r="K89" t="str">
        <f>IF(B89="Σύνολα",SUMIF(B$1:B$200,Sheet6!K88,K$1:K$200),IF(ISNUMBER(E89),IF(E89&gt;J89,ROUND((E89-J89),1),""),""))</f>
        <v/>
      </c>
      <c r="L89" s="6" t="str">
        <f>IF(ISNUMBER(Sheet4!J89),IF(AND(ISNUMBER(H89),H89&gt;0,I89&gt;0),ROUNDDOWN(H89/I89,0),""),"")</f>
        <v/>
      </c>
      <c r="M89" s="6" t="str">
        <f>IF(AND(ISNUMBER(Sheet4!J89),ISNUMBER(K89)),IF(I89&lt;0,ROUNDDOWN(K89/I89,0),""),"")</f>
        <v/>
      </c>
      <c r="N89" s="29" t="str">
        <f>IF(ISNUMBER(Sheet4!H89),Sheet4!H89/1000,"")</f>
        <v/>
      </c>
    </row>
    <row r="90" spans="1:14" ht="12.75" customHeight="1" x14ac:dyDescent="0.2">
      <c r="A90" t="str">
        <f>IF(OR(Sheet4!C90="?",ISNUMBER(Sheet4!C90)),Sheet4!A90,IF(B90="Σύνολα",B89,""))</f>
        <v>TK-812</v>
      </c>
      <c r="B90" s="94" t="str">
        <f>IF(OR(Sheet4!D90="?",ISNUMBER(Sheet4!D90)),MID(Sheet4!B90,4,20),IF(Sheet4!B90="________________","Σύνολα",IF(MID(Sheet4!B89,4,20)="Ballast","Σύνολα","")))</f>
        <v>Diesel Mar</v>
      </c>
      <c r="C90">
        <f>IF(LEFT(A90,3)="TK-",VLOOKUP(A90,Sheet3!A:B,2,FALSE),IF(B90="Σύνολα",SUMIF(B$1:B$200,Sheet6!K89,C$1:C$200),""))</f>
        <v>1548</v>
      </c>
      <c r="D90" t="str">
        <f>IF(LEFT(A90,3)="TK-",VLOOKUP(A90,Sheet3!A:C,3,FALSE),"")</f>
        <v>141 + 19</v>
      </c>
      <c r="E90">
        <f>IF(ISNUMBER(Sheet4!D90),ROUND(Sheet4!D90,1),IF(B90="Σύνολα",SUMIF(B$1:B$200,Sheet6!K89,E$1:E$200),""))</f>
        <v>1542.6</v>
      </c>
      <c r="F90" s="31">
        <f>IF(ISNUMBER(Sheet4!E90),Sheet4!E90,"")</f>
        <v>12.7</v>
      </c>
      <c r="G90">
        <f>IF(ISNUMBER(Sheet4!G90),ROUND(Sheet4!G90,1),IF(B90="Σύνολα",SUMIF(B$1:B$200,Sheet6!K89,G$1:G$200),""))</f>
        <v>1527.3</v>
      </c>
      <c r="H90" t="str">
        <f>IF(ISNUMBER(Sheet4!F90),ROUND(Sheet4!F90,1),IF(B90="Σύνολα",SUMIF(B$1:B$200,Sheet6!K89,H$1:H$200),""))</f>
        <v/>
      </c>
      <c r="I90">
        <f>IF(ISNUMBER(Sheet4!J90),ROUND(Sheet4!J90,1),IF(B90="Σύνολα",SUMIF(B$1:B$200,Sheet6!K89,I$1:I$200),""))</f>
        <v>0.3</v>
      </c>
      <c r="J90">
        <f>IF(LEFT(A90,3)="TK-",VLOOKUP(A90,Sheet3!A:D,4,FALSE),IF(B90="Σύνολα",SUMIF(B$1:B$200,Sheet6!K89,J$1:J$200),""))</f>
        <v>90</v>
      </c>
      <c r="K90">
        <f>IF(B90="Σύνολα",SUMIF(B$1:B$200,Sheet6!K89,K$1:K$200),IF(ISNUMBER(E90),IF(E90&gt;J90,ROUND((E90-J90),1),""),""))</f>
        <v>1452.6</v>
      </c>
      <c r="L90" s="6" t="str">
        <f>IF(ISNUMBER(Sheet4!J90),IF(AND(ISNUMBER(H90),H90&gt;0,I90&gt;0),ROUNDDOWN(H90/I90,0),""),"")</f>
        <v/>
      </c>
      <c r="M90" s="6" t="str">
        <f>IF(AND(ISNUMBER(Sheet4!J90),ISNUMBER(K90)),IF(I90&lt;0,ROUNDDOWN(K90/I90,0),""),"")</f>
        <v/>
      </c>
      <c r="N90" s="29">
        <f>IF(ISNUMBER(Sheet4!H90),Sheet4!H90/1000,"")</f>
        <v>0.83799999999999997</v>
      </c>
    </row>
    <row r="91" spans="1:14" ht="12.75" customHeight="1" x14ac:dyDescent="0.2">
      <c r="A91" t="str">
        <f>IF(OR(Sheet4!C91="?",ISNUMBER(Sheet4!C91)),Sheet4!A91,IF(B91="Σύνολα",B90,""))</f>
        <v>TK-813</v>
      </c>
      <c r="B91" s="94" t="str">
        <f>IF(OR(Sheet4!D91="?",ISNUMBER(Sheet4!D91)),MID(Sheet4!B91,4,20),IF(Sheet4!B91="________________","Σύνολα",IF(MID(Sheet4!B90,4,20)="Ballast","Σύνολα","")))</f>
        <v>Diesel Mar</v>
      </c>
      <c r="C91">
        <f>IF(LEFT(A91,3)="TK-",VLOOKUP(A91,Sheet3!A:B,2,FALSE),IF(B91="Σύνολα",SUMIF(B$1:B$200,Sheet6!K90,C$1:C$200),""))</f>
        <v>648</v>
      </c>
      <c r="D91" t="str">
        <f>IF(LEFT(A91,3)="TK-",VLOOKUP(A91,Sheet3!A:C,3,FALSE),"")</f>
        <v xml:space="preserve"> 80 +  6</v>
      </c>
      <c r="E91">
        <f>IF(ISNUMBER(Sheet4!D91),ROUND(Sheet4!D91,1),IF(B91="Σύνολα",SUMIF(B$1:B$200,Sheet6!K90,E$1:E$200),""))</f>
        <v>402.2</v>
      </c>
      <c r="F91" s="31">
        <f>IF(ISNUMBER(Sheet4!E91),Sheet4!E91,"")</f>
        <v>15.6</v>
      </c>
      <c r="G91">
        <f>IF(ISNUMBER(Sheet4!G91),ROUND(Sheet4!G91,1),IF(B91="Σύνολα",SUMIF(B$1:B$200,Sheet6!K90,G$1:G$200),""))</f>
        <v>402</v>
      </c>
      <c r="H91">
        <f>IF(ISNUMBER(Sheet4!F91),ROUND(Sheet4!F91,1),IF(B91="Σύνολα",SUMIF(B$1:B$200,Sheet6!K90,H$1:H$200),""))</f>
        <v>230.7</v>
      </c>
      <c r="I91">
        <f>IF(ISNUMBER(Sheet4!J91),ROUND(Sheet4!J91,1),IF(B91="Σύνολα",SUMIF(B$1:B$200,Sheet6!K90,I$1:I$200),""))</f>
        <v>-115.9</v>
      </c>
      <c r="J91">
        <f>IF(LEFT(A91,3)="TK-",VLOOKUP(A91,Sheet3!A:D,4,FALSE),IF(B91="Σύνολα",SUMIF(B$1:B$200,Sheet6!K90,J$1:J$200),""))</f>
        <v>50</v>
      </c>
      <c r="K91">
        <f>IF(B91="Σύνολα",SUMIF(B$1:B$200,Sheet6!K90,K$1:K$200),IF(ISNUMBER(E91),IF(E91&gt;J91,ROUND((E91-J91),1),""),""))</f>
        <v>352.2</v>
      </c>
      <c r="L91" s="6" t="str">
        <f>IF(ISNUMBER(Sheet4!J91),IF(AND(ISNUMBER(H91),H91&gt;0,I91&gt;0),ROUNDDOWN(H91/I91,0),""),"")</f>
        <v/>
      </c>
      <c r="M91" s="6">
        <f>IF(AND(ISNUMBER(Sheet4!J91),ISNUMBER(K91)),IF(I91&lt;0,ROUNDDOWN(K91/I91,0),""),"")</f>
        <v>-3</v>
      </c>
      <c r="N91" s="29">
        <f>IF(ISNUMBER(Sheet4!H91),Sheet4!H91/1000,"")</f>
        <v>0.83889999999999998</v>
      </c>
    </row>
    <row r="92" spans="1:14" ht="12.75" customHeight="1" x14ac:dyDescent="0.2">
      <c r="A92" t="str">
        <f>IF(OR(Sheet4!C92="?",ISNUMBER(Sheet4!C92)),Sheet4!A92,IF(B92="Σύνολα",B91,""))</f>
        <v>Diesel Mar</v>
      </c>
      <c r="B92" s="94" t="str">
        <f>IF(OR(Sheet4!D92="?",ISNUMBER(Sheet4!D92)),MID(Sheet4!B92,4,20),IF(Sheet4!B92="________________","Σύνολα",IF(MID(Sheet4!B91,4,20)="Ballast","Σύνολα","")))</f>
        <v>Σύνολα</v>
      </c>
      <c r="C92">
        <f>IF(LEFT(A92,3)="TK-",VLOOKUP(A92,Sheet3!A:B,2,FALSE),IF(B92="Σύνολα",SUMIF(B$1:B$200,Sheet6!K91,C$1:C$200),""))</f>
        <v>2196</v>
      </c>
      <c r="D92" t="str">
        <f>IF(LEFT(A92,3)="TK-",VLOOKUP(A92,Sheet3!A:C,3,FALSE),"")</f>
        <v/>
      </c>
      <c r="E92">
        <f>IF(ISNUMBER(Sheet4!D92),ROUND(Sheet4!D92,1),IF(B92="Σύνολα",SUMIF(B$1:B$200,Sheet6!K91,E$1:E$200),""))</f>
        <v>1944.8</v>
      </c>
      <c r="F92" s="31" t="str">
        <f>IF(ISNUMBER(Sheet4!E92),Sheet4!E92,"")</f>
        <v/>
      </c>
      <c r="G92">
        <f>IF(ISNUMBER(Sheet4!G92),ROUND(Sheet4!G92,1),IF(B92="Σύνολα",SUMIF(B$1:B$200,Sheet6!K91,G$1:G$200),""))</f>
        <v>1929.3</v>
      </c>
      <c r="H92">
        <f>IF(ISNUMBER(Sheet4!F92),ROUND(Sheet4!F92,1),IF(B92="Σύνολα",SUMIF(B$1:B$200,Sheet6!K91,H$1:H$200),""))</f>
        <v>230.7</v>
      </c>
      <c r="I92">
        <f>IF(ISNUMBER(Sheet4!J92),ROUND(Sheet4!J92,1),IF(B92="Σύνολα",SUMIF(B$1:B$200,Sheet6!K91,I$1:I$200),""))</f>
        <v>-115.60000000000001</v>
      </c>
      <c r="J92">
        <f>IF(LEFT(A92,3)="TK-",VLOOKUP(A92,Sheet3!A:D,4,FALSE),IF(B92="Σύνολα",SUMIF(B$1:B$200,Sheet6!K91,J$1:J$200),""))</f>
        <v>140</v>
      </c>
      <c r="K92">
        <f>IF(B92="Σύνολα",SUMIF(B$1:B$200,Sheet6!K91,K$1:K$200),IF(ISNUMBER(E92),IF(E92&gt;J92,ROUND((E92-J92),1),""),""))</f>
        <v>1804.8</v>
      </c>
      <c r="L92" s="6" t="str">
        <f>IF(ISNUMBER(Sheet4!J92),IF(AND(ISNUMBER(H92),H92&gt;0,I92&gt;0),ROUNDDOWN(H92/I92,0),""),"")</f>
        <v/>
      </c>
      <c r="M92" s="6" t="str">
        <f>IF(AND(ISNUMBER(Sheet4!J92),ISNUMBER(K92)),IF(I92&lt;0,ROUNDDOWN(K92/I92,0),""),"")</f>
        <v/>
      </c>
      <c r="N92" s="29" t="str">
        <f>IF(ISNUMBER(Sheet4!H92),Sheet4!H92/1000,"")</f>
        <v/>
      </c>
    </row>
    <row r="93" spans="1:14" ht="12.75" customHeight="1" x14ac:dyDescent="0.2">
      <c r="A93" t="str">
        <f>IF(OR(Sheet4!C93="?",ISNUMBER(Sheet4!C93)),Sheet4!A93,IF(B93="Σύνολα",B92,""))</f>
        <v/>
      </c>
      <c r="B93" s="94" t="str">
        <f>IF(OR(Sheet4!D93="?",ISNUMBER(Sheet4!D93)),MID(Sheet4!B93,4,20),IF(Sheet4!B93="________________","Σύνολα",IF(MID(Sheet4!B92,4,20)="Ballast","Σύνολα","")))</f>
        <v/>
      </c>
      <c r="C93" t="str">
        <f>IF(LEFT(A93,3)="TK-",VLOOKUP(A93,Sheet3!A:B,2,FALSE),IF(B93="Σύνολα",SUMIF(B$1:B$200,Sheet6!K92,C$1:C$200),""))</f>
        <v/>
      </c>
      <c r="D93" t="str">
        <f>IF(LEFT(A93,3)="TK-",VLOOKUP(A93,Sheet3!A:C,3,FALSE),"")</f>
        <v/>
      </c>
      <c r="E93" t="str">
        <f>IF(ISNUMBER(Sheet4!D93),ROUND(Sheet4!D93,1),IF(B93="Σύνολα",SUMIF(B$1:B$200,Sheet6!K92,E$1:E$200),""))</f>
        <v/>
      </c>
      <c r="F93" s="31" t="str">
        <f>IF(ISNUMBER(Sheet4!E93),Sheet4!E93,"")</f>
        <v/>
      </c>
      <c r="G93" t="str">
        <f>IF(ISNUMBER(Sheet4!G93),ROUND(Sheet4!G93,1),IF(B93="Σύνολα",SUMIF(B$1:B$200,Sheet6!K92,G$1:G$200),""))</f>
        <v/>
      </c>
      <c r="H93" t="str">
        <f>IF(ISNUMBER(Sheet4!F93),ROUND(Sheet4!F93,1),IF(B93="Σύνολα",SUMIF(B$1:B$200,Sheet6!K92,H$1:H$200),""))</f>
        <v/>
      </c>
      <c r="I93" t="str">
        <f>IF(ISNUMBER(Sheet4!J93),ROUND(Sheet4!J93,1),IF(B93="Σύνολα",SUMIF(B$1:B$200,Sheet6!K92,I$1:I$200),""))</f>
        <v/>
      </c>
      <c r="J93" t="str">
        <f>IF(LEFT(A93,3)="TK-",VLOOKUP(A93,Sheet3!A:D,4,FALSE),IF(B93="Σύνολα",SUMIF(B$1:B$200,Sheet6!K92,J$1:J$200),""))</f>
        <v/>
      </c>
      <c r="K93" t="str">
        <f>IF(B93="Σύνολα",SUMIF(B$1:B$200,Sheet6!K92,K$1:K$200),IF(ISNUMBER(E93),IF(E93&gt;J93,ROUND((E93-J93),1),""),""))</f>
        <v/>
      </c>
      <c r="L93" s="6" t="str">
        <f>IF(ISNUMBER(Sheet4!J93),IF(AND(ISNUMBER(H93),H93&gt;0,I93&gt;0),ROUNDDOWN(H93/I93,0),""),"")</f>
        <v/>
      </c>
      <c r="M93" s="6" t="str">
        <f>IF(AND(ISNUMBER(Sheet4!J93),ISNUMBER(K93)),IF(I93&lt;0,ROUNDDOWN(K93/I93,0),""),"")</f>
        <v/>
      </c>
      <c r="N93" s="29" t="str">
        <f>IF(ISNUMBER(Sheet4!H93),Sheet4!H93/1000,"")</f>
        <v/>
      </c>
    </row>
    <row r="94" spans="1:14" ht="12.75" customHeight="1" x14ac:dyDescent="0.2">
      <c r="A94" t="str">
        <f>IF(OR(Sheet4!C94="?",ISNUMBER(Sheet4!C94)),Sheet4!A94,IF(B94="Σύνολα",B93,""))</f>
        <v/>
      </c>
      <c r="B94" s="94" t="str">
        <f>IF(OR(Sheet4!D94="?",ISNUMBER(Sheet4!D94)),MID(Sheet4!B94,4,20),IF(Sheet4!B94="________________","Σύνολα",IF(MID(Sheet4!B93,4,20)="Ballast","Σύνολα","")))</f>
        <v/>
      </c>
      <c r="C94" t="str">
        <f>IF(LEFT(A94,3)="TK-",VLOOKUP(A94,Sheet3!A:B,2,FALSE),IF(B94="Σύνολα",SUMIF(B$1:B$200,Sheet6!K93,C$1:C$200),""))</f>
        <v/>
      </c>
      <c r="D94" t="str">
        <f>IF(LEFT(A94,3)="TK-",VLOOKUP(A94,Sheet3!A:C,3,FALSE),"")</f>
        <v/>
      </c>
      <c r="E94" t="str">
        <f>IF(ISNUMBER(Sheet4!D94),ROUND(Sheet4!D94,1),IF(B94="Σύνολα",SUMIF(B$1:B$200,Sheet6!K93,E$1:E$200),""))</f>
        <v/>
      </c>
      <c r="F94" s="31" t="str">
        <f>IF(ISNUMBER(Sheet4!E94),Sheet4!E94,"")</f>
        <v/>
      </c>
      <c r="G94" t="str">
        <f>IF(ISNUMBER(Sheet4!G94),ROUND(Sheet4!G94,1),IF(B94="Σύνολα",SUMIF(B$1:B$200,Sheet6!K93,G$1:G$200),""))</f>
        <v/>
      </c>
      <c r="H94" t="str">
        <f>IF(ISNUMBER(Sheet4!F94),ROUND(Sheet4!F94,1),IF(B94="Σύνολα",SUMIF(B$1:B$200,Sheet6!K93,H$1:H$200),""))</f>
        <v/>
      </c>
      <c r="I94" t="str">
        <f>IF(ISNUMBER(Sheet4!J94),ROUND(Sheet4!J94,1),IF(B94="Σύνολα",SUMIF(B$1:B$200,Sheet6!K93,I$1:I$200),""))</f>
        <v/>
      </c>
      <c r="J94" t="str">
        <f>IF(LEFT(A94,3)="TK-",VLOOKUP(A94,Sheet3!A:D,4,FALSE),IF(B94="Σύνολα",SUMIF(B$1:B$200,Sheet6!K93,J$1:J$200),""))</f>
        <v/>
      </c>
      <c r="K94" t="str">
        <f>IF(B94="Σύνολα",SUMIF(B$1:B$200,Sheet6!K93,K$1:K$200),IF(ISNUMBER(E94),IF(E94&gt;J94,ROUND((E94-J94),1),""),""))</f>
        <v/>
      </c>
      <c r="L94" s="6" t="str">
        <f>IF(ISNUMBER(Sheet4!J94),IF(AND(ISNUMBER(H94),H94&gt;0,I94&gt;0),ROUNDDOWN(H94/I94,0),""),"")</f>
        <v/>
      </c>
      <c r="M94" s="6" t="str">
        <f>IF(AND(ISNUMBER(Sheet4!J94),ISNUMBER(K94)),IF(I94&lt;0,ROUNDDOWN(K94/I94,0),""),"")</f>
        <v/>
      </c>
      <c r="N94" s="29" t="str">
        <f>IF(ISNUMBER(Sheet4!H94),Sheet4!H94/1000,"")</f>
        <v/>
      </c>
    </row>
    <row r="95" spans="1:14" ht="12.75" customHeight="1" x14ac:dyDescent="0.2">
      <c r="A95" t="str">
        <f>IF(OR(Sheet4!C95="?",ISNUMBER(Sheet4!C95)),Sheet4!A95,IF(B95="Σύνολα",B94,""))</f>
        <v>TK-835</v>
      </c>
      <c r="B95" s="94" t="str">
        <f>IF(OR(Sheet4!D95="?",ISNUMBER(Sheet4!D95)),MID(Sheet4!B95,4,20),IF(Sheet4!B95="________________","Σύνολα",IF(MID(Sheet4!B94,4,20)="Ballast","Σύνολα","")))</f>
        <v>Diesel Mil</v>
      </c>
      <c r="C95">
        <f>IF(LEFT(A95,3)="TK-",VLOOKUP(A95,Sheet3!A:B,2,FALSE),IF(B95="Σύνολα",SUMIF(B$1:B$200,Sheet6!K94,C$1:C$200),""))</f>
        <v>4470</v>
      </c>
      <c r="D95" t="str">
        <f>IF(LEFT(A95,3)="TK-",VLOOKUP(A95,Sheet3!A:C,3,FALSE),"")</f>
        <v>337 + 16</v>
      </c>
      <c r="E95">
        <f>IF(ISNUMBER(Sheet4!D95),ROUND(Sheet4!D95,1),IF(B95="Σύνολα",SUMIF(B$1:B$200,Sheet6!K94,E$1:E$200),""))</f>
        <v>1086</v>
      </c>
      <c r="F95" s="31">
        <f>IF(ISNUMBER(Sheet4!E95),Sheet4!E95,"")</f>
        <v>12.6</v>
      </c>
      <c r="G95">
        <f>IF(ISNUMBER(Sheet4!G95),ROUND(Sheet4!G95,1),IF(B95="Σύνολα",SUMIF(B$1:B$200,Sheet6!K94,G$1:G$200),""))</f>
        <v>1088.8</v>
      </c>
      <c r="H95">
        <f>IF(ISNUMBER(Sheet4!F95),ROUND(Sheet4!F95,1),IF(B95="Σύνολα",SUMIF(B$1:B$200,Sheet6!K94,H$1:H$200),""))</f>
        <v>3384</v>
      </c>
      <c r="I95">
        <f>IF(ISNUMBER(Sheet4!J95),ROUND(Sheet4!J95,1),IF(B95="Σύνολα",SUMIF(B$1:B$200,Sheet6!K94,I$1:I$200),""))</f>
        <v>0.7</v>
      </c>
      <c r="J95">
        <f>IF(LEFT(A95,3)="TK-",VLOOKUP(A95,Sheet3!A:D,4,FALSE),IF(B95="Σύνολα",SUMIF(B$1:B$200,Sheet6!K94,J$1:J$200),""))</f>
        <v>250</v>
      </c>
      <c r="K95">
        <f>IF(B95="Σύνολα",SUMIF(B$1:B$200,Sheet6!K94,K$1:K$200),IF(ISNUMBER(E95),IF(E95&gt;J95,ROUND((E95-J95),1),""),""))</f>
        <v>836</v>
      </c>
      <c r="L95" s="6">
        <f>IF(ISNUMBER(Sheet4!J95),IF(AND(ISNUMBER(H95),H95&gt;0,I95&gt;0),ROUNDDOWN(H95/I95,0),""),"")</f>
        <v>4834</v>
      </c>
      <c r="M95" s="6" t="str">
        <f>IF(AND(ISNUMBER(Sheet4!J95),ISNUMBER(K95)),IF(I95&lt;0,ROUNDDOWN(K95/I95,0),""),"")</f>
        <v/>
      </c>
      <c r="N95" s="29">
        <f>IF(ISNUMBER(Sheet4!H95),Sheet4!H95/1000,"")</f>
        <v>0.81229999999999991</v>
      </c>
    </row>
    <row r="96" spans="1:14" ht="12.75" customHeight="1" x14ac:dyDescent="0.2">
      <c r="A96" t="str">
        <f>IF(OR(Sheet4!C96="?",ISNUMBER(Sheet4!C96)),Sheet4!A96,IF(B96="Σύνολα",B95,""))</f>
        <v>Diesel Mil</v>
      </c>
      <c r="B96" s="94" t="str">
        <f>IF(OR(Sheet4!D96="?",ISNUMBER(Sheet4!D96)),MID(Sheet4!B96,4,20),IF(Sheet4!B96="________________","Σύνολα",IF(MID(Sheet4!B95,4,20)="Ballast","Σύνολα","")))</f>
        <v>Σύνολα</v>
      </c>
      <c r="C96">
        <f>IF(LEFT(A96,3)="TK-",VLOOKUP(A96,Sheet3!A:B,2,FALSE),IF(B96="Σύνολα",SUMIF(B$1:B$200,Sheet6!K95,C$1:C$200),""))</f>
        <v>4470</v>
      </c>
      <c r="D96" t="str">
        <f>IF(LEFT(A96,3)="TK-",VLOOKUP(A96,Sheet3!A:C,3,FALSE),"")</f>
        <v/>
      </c>
      <c r="E96">
        <f>IF(ISNUMBER(Sheet4!D96),ROUND(Sheet4!D96,1),IF(B96="Σύνολα",SUMIF(B$1:B$200,Sheet6!K95,E$1:E$200),""))</f>
        <v>1086</v>
      </c>
      <c r="F96" s="31" t="str">
        <f>IF(ISNUMBER(Sheet4!E96),Sheet4!E96,"")</f>
        <v/>
      </c>
      <c r="G96">
        <f>IF(ISNUMBER(Sheet4!G96),ROUND(Sheet4!G96,1),IF(B96="Σύνολα",SUMIF(B$1:B$200,Sheet6!K95,G$1:G$200),""))</f>
        <v>1088.8</v>
      </c>
      <c r="H96">
        <f>IF(ISNUMBER(Sheet4!F96),ROUND(Sheet4!F96,1),IF(B96="Σύνολα",SUMIF(B$1:B$200,Sheet6!K95,H$1:H$200),""))</f>
        <v>3384</v>
      </c>
      <c r="I96">
        <f>IF(ISNUMBER(Sheet4!J96),ROUND(Sheet4!J96,1),IF(B96="Σύνολα",SUMIF(B$1:B$200,Sheet6!K95,I$1:I$200),""))</f>
        <v>0.7</v>
      </c>
      <c r="J96">
        <f>IF(LEFT(A96,3)="TK-",VLOOKUP(A96,Sheet3!A:D,4,FALSE),IF(B96="Σύνολα",SUMIF(B$1:B$200,Sheet6!K95,J$1:J$200),""))</f>
        <v>250</v>
      </c>
      <c r="K96">
        <f>IF(B96="Σύνολα",SUMIF(B$1:B$200,Sheet6!K95,K$1:K$200),IF(ISNUMBER(E96),IF(E96&gt;J96,ROUND((E96-J96),1),""),""))</f>
        <v>836</v>
      </c>
      <c r="L96" s="6" t="str">
        <f>IF(ISNUMBER(Sheet4!J96),IF(AND(ISNUMBER(H96),H96&gt;0,I96&gt;0),ROUNDDOWN(H96/I96,0),""),"")</f>
        <v/>
      </c>
      <c r="M96" s="6" t="str">
        <f>IF(AND(ISNUMBER(Sheet4!J96),ISNUMBER(K96)),IF(I96&lt;0,ROUNDDOWN(K96/I96,0),""),"")</f>
        <v/>
      </c>
      <c r="N96" s="29" t="str">
        <f>IF(ISNUMBER(Sheet4!H96),Sheet4!H96/1000,"")</f>
        <v/>
      </c>
    </row>
    <row r="97" spans="1:14" ht="12.75" customHeight="1" x14ac:dyDescent="0.2">
      <c r="A97" t="str">
        <f>IF(OR(Sheet4!C97="?",ISNUMBER(Sheet4!C97)),Sheet4!A97,IF(B97="Σύνολα",B96,""))</f>
        <v/>
      </c>
      <c r="B97" s="94" t="str">
        <f>IF(OR(Sheet4!D97="?",ISNUMBER(Sheet4!D97)),MID(Sheet4!B97,4,20),IF(Sheet4!B97="________________","Σύνολα",IF(MID(Sheet4!B96,4,20)="Ballast","Σύνολα","")))</f>
        <v/>
      </c>
      <c r="C97" t="str">
        <f>IF(LEFT(A97,3)="TK-",VLOOKUP(A97,Sheet3!A:B,2,FALSE),IF(B97="Σύνολα",SUMIF(B$1:B$200,Sheet6!K96,C$1:C$200),""))</f>
        <v/>
      </c>
      <c r="D97" t="str">
        <f>IF(LEFT(A97,3)="TK-",VLOOKUP(A97,Sheet3!A:C,3,FALSE),"")</f>
        <v/>
      </c>
      <c r="E97" t="str">
        <f>IF(ISNUMBER(Sheet4!D97),ROUND(Sheet4!D97,1),IF(B97="Σύνολα",SUMIF(B$1:B$200,Sheet6!K96,E$1:E$200),""))</f>
        <v/>
      </c>
      <c r="F97" s="31" t="str">
        <f>IF(ISNUMBER(Sheet4!E97),Sheet4!E97,"")</f>
        <v/>
      </c>
      <c r="G97" t="str">
        <f>IF(ISNUMBER(Sheet4!G97),ROUND(Sheet4!G97,1),IF(B97="Σύνολα",SUMIF(B$1:B$200,Sheet6!K96,G$1:G$200),""))</f>
        <v/>
      </c>
      <c r="H97" t="str">
        <f>IF(ISNUMBER(Sheet4!F97),ROUND(Sheet4!F97,1),IF(B97="Σύνολα",SUMIF(B$1:B$200,Sheet6!K96,H$1:H$200),""))</f>
        <v/>
      </c>
      <c r="I97" t="str">
        <f>IF(ISNUMBER(Sheet4!J97),ROUND(Sheet4!J97,1),IF(B97="Σύνολα",SUMIF(B$1:B$200,Sheet6!K96,I$1:I$200),""))</f>
        <v/>
      </c>
      <c r="J97" t="str">
        <f>IF(LEFT(A97,3)="TK-",VLOOKUP(A97,Sheet3!A:D,4,FALSE),IF(B97="Σύνολα",SUMIF(B$1:B$200,Sheet6!K96,J$1:J$200),""))</f>
        <v/>
      </c>
      <c r="K97" t="str">
        <f>IF(B97="Σύνολα",SUMIF(B$1:B$200,Sheet6!K96,K$1:K$200),IF(ISNUMBER(E97),IF(E97&gt;J97,ROUND((E97-J97),1),""),""))</f>
        <v/>
      </c>
      <c r="L97" s="6" t="str">
        <f>IF(ISNUMBER(Sheet4!J97),IF(AND(ISNUMBER(H97),H97&gt;0,I97&gt;0),ROUNDDOWN(H97/I97,0),""),"")</f>
        <v/>
      </c>
      <c r="M97" s="6" t="str">
        <f>IF(AND(ISNUMBER(Sheet4!J97),ISNUMBER(K97)),IF(I97&lt;0,ROUNDDOWN(K97/I97,0),""),"")</f>
        <v/>
      </c>
      <c r="N97" s="29" t="str">
        <f>IF(ISNUMBER(Sheet4!H97),Sheet4!H97/1000,"")</f>
        <v/>
      </c>
    </row>
    <row r="98" spans="1:14" ht="12.75" customHeight="1" x14ac:dyDescent="0.2">
      <c r="A98" t="str">
        <f>IF(OR(Sheet4!C98="?",ISNUMBER(Sheet4!C98)),Sheet4!A98,IF(B98="Σύνολα",B97,""))</f>
        <v/>
      </c>
      <c r="B98" s="94" t="str">
        <f>IF(OR(Sheet4!D98="?",ISNUMBER(Sheet4!D98)),MID(Sheet4!B98,4,20),IF(Sheet4!B98="________________","Σύνολα",IF(MID(Sheet4!B97,4,20)="Ballast","Σύνολα","")))</f>
        <v/>
      </c>
      <c r="C98" t="str">
        <f>IF(LEFT(A98,3)="TK-",VLOOKUP(A98,Sheet3!A:B,2,FALSE),IF(B98="Σύνολα",SUMIF(B$1:B$200,Sheet6!K97,C$1:C$200),""))</f>
        <v/>
      </c>
      <c r="D98" t="str">
        <f>IF(LEFT(A98,3)="TK-",VLOOKUP(A98,Sheet3!A:C,3,FALSE),"")</f>
        <v/>
      </c>
      <c r="E98" t="str">
        <f>IF(ISNUMBER(Sheet4!D98),ROUND(Sheet4!D98,1),IF(B98="Σύνολα",SUMIF(B$1:B$200,Sheet6!K97,E$1:E$200),""))</f>
        <v/>
      </c>
      <c r="F98" s="31" t="str">
        <f>IF(ISNUMBER(Sheet4!E98),Sheet4!E98,"")</f>
        <v/>
      </c>
      <c r="G98" t="str">
        <f>IF(ISNUMBER(Sheet4!G98),ROUND(Sheet4!G98,1),IF(B98="Σύνολα",SUMIF(B$1:B$200,Sheet6!K97,G$1:G$200),""))</f>
        <v/>
      </c>
      <c r="H98" t="str">
        <f>IF(ISNUMBER(Sheet4!F98),ROUND(Sheet4!F98,1),IF(B98="Σύνολα",SUMIF(B$1:B$200,Sheet6!K97,H$1:H$200),""))</f>
        <v/>
      </c>
      <c r="I98" t="str">
        <f>IF(ISNUMBER(Sheet4!J98),ROUND(Sheet4!J98,1),IF(B98="Σύνολα",SUMIF(B$1:B$200,Sheet6!K97,I$1:I$200),""))</f>
        <v/>
      </c>
      <c r="J98" t="str">
        <f>IF(LEFT(A98,3)="TK-",VLOOKUP(A98,Sheet3!A:D,4,FALSE),IF(B98="Σύνολα",SUMIF(B$1:B$200,Sheet6!K97,J$1:J$200),""))</f>
        <v/>
      </c>
      <c r="K98" t="str">
        <f>IF(B98="Σύνολα",SUMIF(B$1:B$200,Sheet6!K97,K$1:K$200),IF(ISNUMBER(E98),IF(E98&gt;J98,ROUND((E98-J98),1),""),""))</f>
        <v/>
      </c>
      <c r="L98" s="6" t="str">
        <f>IF(ISNUMBER(Sheet4!J98),IF(AND(ISNUMBER(H98),H98&gt;0,I98&gt;0),ROUNDDOWN(H98/I98,0),""),"")</f>
        <v/>
      </c>
      <c r="M98" s="6" t="str">
        <f>IF(AND(ISNUMBER(Sheet4!J98),ISNUMBER(K98)),IF(I98&lt;0,ROUNDDOWN(K98/I98,0),""),"")</f>
        <v/>
      </c>
      <c r="N98" s="29" t="str">
        <f>IF(ISNUMBER(Sheet4!H98),Sheet4!H98/1000,"")</f>
        <v/>
      </c>
    </row>
    <row r="99" spans="1:14" ht="12.75" customHeight="1" x14ac:dyDescent="0.2">
      <c r="A99" t="str">
        <f>IF(OR(Sheet4!C99="?",ISNUMBER(Sheet4!C99)),Sheet4!A99,IF(B99="Σύνολα",B98,""))</f>
        <v>TK-845</v>
      </c>
      <c r="B99" s="94" t="str">
        <f>IF(OR(Sheet4!D99="?",ISNUMBER(Sheet4!D99)),MID(Sheet4!B99,4,20),IF(Sheet4!B99="________________","Σύνολα",IF(MID(Sheet4!B98,4,20)="Ballast","Σύνολα","")))</f>
        <v>FO SR</v>
      </c>
      <c r="C99">
        <f>IF(LEFT(A99,3)="TK-",VLOOKUP(A99,Sheet3!A:B,2,FALSE),IF(B99="Σύνολα",SUMIF(B$1:B$200,Sheet6!K98,C$1:C$200),""))</f>
        <v>23330</v>
      </c>
      <c r="D99" t="str">
        <f>IF(LEFT(A99,3)="TK-",VLOOKUP(A99,Sheet3!A:C,3,FALSE),"")</f>
        <v>1643+ 342</v>
      </c>
      <c r="E99">
        <f>IF(ISNUMBER(Sheet4!D99),ROUND(Sheet4!D99,1),IF(B99="Σύνολα",SUMIF(B$1:B$200,Sheet6!K98,E$1:E$200),""))</f>
        <v>5443.1</v>
      </c>
      <c r="F99" s="31">
        <f>IF(ISNUMBER(Sheet4!E99),Sheet4!E99,"")</f>
        <v>61.7</v>
      </c>
      <c r="G99">
        <f>IF(ISNUMBER(Sheet4!G99),ROUND(Sheet4!G99,1),IF(B99="Σύνολα",SUMIF(B$1:B$200,Sheet6!K98,G$1:G$200),""))</f>
        <v>5263</v>
      </c>
      <c r="H99">
        <f>IF(ISNUMBER(Sheet4!F99),ROUND(Sheet4!F99,1),IF(B99="Σύνολα",SUMIF(B$1:B$200,Sheet6!K98,H$1:H$200),""))</f>
        <v>17891.900000000001</v>
      </c>
      <c r="I99">
        <f>IF(ISNUMBER(Sheet4!J99),ROUND(Sheet4!J99,1),IF(B99="Σύνολα",SUMIF(B$1:B$200,Sheet6!K98,I$1:I$200),""))</f>
        <v>2539.3000000000002</v>
      </c>
      <c r="J99">
        <f>IF(LEFT(A99,3)="TK-",VLOOKUP(A99,Sheet3!A:D,4,FALSE),IF(B99="Σύνολα",SUMIF(B$1:B$200,Sheet6!K98,J$1:J$200),""))</f>
        <v>1220</v>
      </c>
      <c r="K99">
        <f>IF(B99="Σύνολα",SUMIF(B$1:B$200,Sheet6!K98,K$1:K$200),IF(ISNUMBER(E99),IF(E99&gt;J99,ROUND((E99-J99),1),""),""))</f>
        <v>4223.1000000000004</v>
      </c>
      <c r="L99" s="6">
        <f>IF(ISNUMBER(Sheet4!J99),IF(AND(ISNUMBER(H99),H99&gt;0,I99&gt;0),ROUNDDOWN(H99/I99,0),""),"")</f>
        <v>7</v>
      </c>
      <c r="M99" s="6" t="str">
        <f>IF(AND(ISNUMBER(Sheet4!J99),ISNUMBER(K99)),IF(I99&lt;0,ROUNDDOWN(K99/I99,0),""),"")</f>
        <v/>
      </c>
      <c r="N99" s="29">
        <f>IF(ISNUMBER(Sheet4!H99),Sheet4!H99/1000,"")</f>
        <v>0.96789999999999998</v>
      </c>
    </row>
    <row r="100" spans="1:14" ht="12.75" customHeight="1" x14ac:dyDescent="0.2">
      <c r="A100" t="str">
        <f>IF(OR(Sheet4!C100="?",ISNUMBER(Sheet4!C100)),Sheet4!A100,IF(B100="Σύνολα",B99,""))</f>
        <v>TK-855</v>
      </c>
      <c r="B100" s="94" t="str">
        <f>IF(OR(Sheet4!D100="?",ISNUMBER(Sheet4!D100)),MID(Sheet4!B100,4,20),IF(Sheet4!B100="________________","Σύνολα",IF(MID(Sheet4!B99,4,20)="Ballast","Σύνολα","")))</f>
        <v>FO SR</v>
      </c>
      <c r="C100">
        <f>IF(LEFT(A100,3)="TK-",VLOOKUP(A100,Sheet3!A:B,2,FALSE),IF(B100="Σύνολα",SUMIF(B$1:B$200,Sheet6!K99,C$1:C$200),""))</f>
        <v>23201</v>
      </c>
      <c r="D100" t="str">
        <f>IF(LEFT(A100,3)="TK-",VLOOKUP(A100,Sheet3!A:C,3,FALSE),"")</f>
        <v>1643+ 504</v>
      </c>
      <c r="E100">
        <f>IF(ISNUMBER(Sheet4!D100),ROUND(Sheet4!D100,1),IF(B100="Σύνολα",SUMIF(B$1:B$200,Sheet6!K99,E$1:E$200),""))</f>
        <v>1221.7</v>
      </c>
      <c r="F100" s="31">
        <f>IF(ISNUMBER(Sheet4!E100),Sheet4!E100,"")</f>
        <v>71</v>
      </c>
      <c r="G100">
        <f>IF(ISNUMBER(Sheet4!G100),ROUND(Sheet4!G100,1),IF(B100="Σύνολα",SUMIF(B$1:B$200,Sheet6!K99,G$1:G$200),""))</f>
        <v>1164.0999999999999</v>
      </c>
      <c r="H100">
        <f>IF(ISNUMBER(Sheet4!F100),ROUND(Sheet4!F100,1),IF(B100="Σύνολα",SUMIF(B$1:B$200,Sheet6!K99,H$1:H$200),""))</f>
        <v>21980.6</v>
      </c>
      <c r="I100">
        <f>IF(ISNUMBER(Sheet4!J100),ROUND(Sheet4!J100,1),IF(B100="Σύνολα",SUMIF(B$1:B$200,Sheet6!K99,I$1:I$200),""))</f>
        <v>1.6</v>
      </c>
      <c r="J100">
        <f>IF(LEFT(A100,3)="TK-",VLOOKUP(A100,Sheet3!A:D,4,FALSE),IF(B100="Σύνολα",SUMIF(B$1:B$200,Sheet6!K99,J$1:J$200),""))</f>
        <v>1200</v>
      </c>
      <c r="K100">
        <f>IF(B100="Σύνολα",SUMIF(B$1:B$200,Sheet6!K99,K$1:K$200),IF(ISNUMBER(E100),IF(E100&gt;J100,ROUND((E100-J100),1),""),""))</f>
        <v>21.7</v>
      </c>
      <c r="L100" s="6">
        <f>IF(ISNUMBER(Sheet4!J100),IF(AND(ISNUMBER(H100),H100&gt;0,I100&gt;0),ROUNDDOWN(H100/I100,0),""),"")</f>
        <v>13737</v>
      </c>
      <c r="M100" s="6" t="str">
        <f>IF(AND(ISNUMBER(Sheet4!J100),ISNUMBER(K100)),IF(I100&lt;0,ROUNDDOWN(K100/I100,0),""),"")</f>
        <v/>
      </c>
      <c r="N100" s="29">
        <f>IF(ISNUMBER(Sheet4!H100),Sheet4!H100/1000,"")</f>
        <v>0.96450000000000002</v>
      </c>
    </row>
    <row r="101" spans="1:14" ht="12.75" customHeight="1" x14ac:dyDescent="0.2">
      <c r="A101" t="str">
        <f>IF(OR(Sheet4!C101="?",ISNUMBER(Sheet4!C101)),Sheet4!A101,IF(B101="Σύνολα",B100,""))</f>
        <v>TK-859</v>
      </c>
      <c r="B101" s="94" t="str">
        <f>IF(OR(Sheet4!D101="?",ISNUMBER(Sheet4!D101)),MID(Sheet4!B101,4,20),IF(Sheet4!B101="________________","Σύνολα",IF(MID(Sheet4!B100,4,20)="Ballast","Σύνολα","")))</f>
        <v>FO SR</v>
      </c>
      <c r="C101">
        <f>IF(LEFT(A101,3)="TK-",VLOOKUP(A101,Sheet3!A:B,2,FALSE),IF(B101="Σύνολα",SUMIF(B$1:B$200,Sheet6!K100,C$1:C$200),""))</f>
        <v>11180</v>
      </c>
      <c r="D101" t="str">
        <f>IF(LEFT(A101,3)="TK-",VLOOKUP(A101,Sheet3!A:C,3,FALSE),"")</f>
        <v>805+64</v>
      </c>
      <c r="E101">
        <f>IF(ISNUMBER(Sheet4!D101),ROUND(Sheet4!D101,1),IF(B101="Σύνολα",SUMIF(B$1:B$200,Sheet6!K100,E$1:E$200),""))</f>
        <v>465</v>
      </c>
      <c r="F101" s="31">
        <f>IF(ISNUMBER(Sheet4!E101),Sheet4!E101,"")</f>
        <v>34.5</v>
      </c>
      <c r="G101">
        <f>IF(ISNUMBER(Sheet4!G101),ROUND(Sheet4!G101,1),IF(B101="Σύνολα",SUMIF(B$1:B$200,Sheet6!K100,G$1:G$200),""))</f>
        <v>458.6</v>
      </c>
      <c r="H101">
        <f>IF(ISNUMBER(Sheet4!F101),ROUND(Sheet4!F101,1),IF(B101="Σύνολα",SUMIF(B$1:B$200,Sheet6!K100,H$1:H$200),""))</f>
        <v>10715.2</v>
      </c>
      <c r="I101">
        <f>IF(ISNUMBER(Sheet4!J101),ROUND(Sheet4!J101,1),IF(B101="Σύνολα",SUMIF(B$1:B$200,Sheet6!K100,I$1:I$200),""))</f>
        <v>7</v>
      </c>
      <c r="J101">
        <f>IF(LEFT(A101,3)="TK-",VLOOKUP(A101,Sheet3!A:D,4,FALSE),IF(B101="Σύνολα",SUMIF(B$1:B$200,Sheet6!K100,J$1:J$200),""))</f>
        <v>386</v>
      </c>
      <c r="K101">
        <f>IF(B101="Σύνολα",SUMIF(B$1:B$200,Sheet6!K100,K$1:K$200),IF(ISNUMBER(E101),IF(E101&gt;J101,ROUND((E101-J101),1),""),""))</f>
        <v>79</v>
      </c>
      <c r="L101" s="6">
        <f>IF(ISNUMBER(Sheet4!J101),IF(AND(ISNUMBER(H101),H101&gt;0,I101&gt;0),ROUNDDOWN(H101/I101,0),""),"")</f>
        <v>1530</v>
      </c>
      <c r="M101" s="6" t="str">
        <f>IF(AND(ISNUMBER(Sheet4!J101),ISNUMBER(K101)),IF(I101&lt;0,ROUNDDOWN(K101/I101,0),""),"")</f>
        <v/>
      </c>
      <c r="N101" s="29">
        <f>IF(ISNUMBER(Sheet4!H101),Sheet4!H101/1000,"")</f>
        <v>0.96339999999999992</v>
      </c>
    </row>
    <row r="102" spans="1:14" ht="12.75" customHeight="1" x14ac:dyDescent="0.2">
      <c r="A102" t="str">
        <f>IF(OR(Sheet4!C102="?",ISNUMBER(Sheet4!C102)),Sheet4!A102,IF(B102="Σύνολα",B101,""))</f>
        <v>TK-862</v>
      </c>
      <c r="B102" s="94" t="str">
        <f>IF(OR(Sheet4!D102="?",ISNUMBER(Sheet4!D102)),MID(Sheet4!B102,4,20),IF(Sheet4!B102="________________","Σύνολα",IF(MID(Sheet4!B101,4,20)="Ballast","Σύνολα","")))</f>
        <v>FO SR</v>
      </c>
      <c r="C102">
        <f>IF(LEFT(A102,3)="TK-",VLOOKUP(A102,Sheet3!A:B,2,FALSE),IF(B102="Σύνολα",SUMIF(B$1:B$200,Sheet6!K101,C$1:C$200),""))</f>
        <v>28706</v>
      </c>
      <c r="D102" t="str">
        <f>IF(LEFT(A102,3)="TK-",VLOOKUP(A102,Sheet3!A:C,3,FALSE),"")</f>
        <v>2123 + 459</v>
      </c>
      <c r="E102">
        <f>IF(ISNUMBER(Sheet4!D102),ROUND(Sheet4!D102,1),IF(B102="Σύνολα",SUMIF(B$1:B$200,Sheet6!K101,E$1:E$200),""))</f>
        <v>1559.4</v>
      </c>
      <c r="F102" s="31">
        <f>IF(ISNUMBER(Sheet4!E102),Sheet4!E102,"")</f>
        <v>16</v>
      </c>
      <c r="G102">
        <f>IF(ISNUMBER(Sheet4!G102),ROUND(Sheet4!G102,1),IF(B102="Σύνολα",SUMIF(B$1:B$200,Sheet6!K101,G$1:G$200),""))</f>
        <v>1558.3</v>
      </c>
      <c r="H102">
        <f>IF(ISNUMBER(Sheet4!F102),ROUND(Sheet4!F102,1),IF(B102="Σύνολα",SUMIF(B$1:B$200,Sheet6!K101,H$1:H$200),""))</f>
        <v>27146.7</v>
      </c>
      <c r="I102">
        <f>IF(ISNUMBER(Sheet4!J102),ROUND(Sheet4!J102,1),IF(B102="Σύνολα",SUMIF(B$1:B$200,Sheet6!K101,I$1:I$200),""))</f>
        <v>1.9</v>
      </c>
      <c r="J102">
        <f>IF(LEFT(A102,3)="TK-",VLOOKUP(A102,Sheet3!A:D,4,FALSE),IF(B102="Σύνολα",SUMIF(B$1:B$200,Sheet6!K101,J$1:J$200),""))</f>
        <v>1500</v>
      </c>
      <c r="K102">
        <f>IF(B102="Σύνολα",SUMIF(B$1:B$200,Sheet6!K101,K$1:K$200),IF(ISNUMBER(E102),IF(E102&gt;J102,ROUND((E102-J102),1),""),""))</f>
        <v>59.4</v>
      </c>
      <c r="L102" s="6">
        <f>IF(ISNUMBER(Sheet4!J102),IF(AND(ISNUMBER(H102),H102&gt;0,I102&gt;0),ROUNDDOWN(H102/I102,0),""),"")</f>
        <v>14287</v>
      </c>
      <c r="M102" s="6" t="str">
        <f>IF(AND(ISNUMBER(Sheet4!J102),ISNUMBER(K102)),IF(I102&lt;0,ROUNDDOWN(K102/I102,0),""),"")</f>
        <v/>
      </c>
      <c r="N102" s="29">
        <f>IF(ISNUMBER(Sheet4!H102),Sheet4!H102/1000,"")</f>
        <v>0.96499999999999997</v>
      </c>
    </row>
    <row r="103" spans="1:14" ht="12.75" customHeight="1" x14ac:dyDescent="0.2">
      <c r="A103" t="str">
        <f>IF(OR(Sheet4!C103="?",ISNUMBER(Sheet4!C103)),Sheet4!A103,IF(B103="Σύνολα",B102,""))</f>
        <v>FO SR</v>
      </c>
      <c r="B103" s="94" t="str">
        <f>IF(OR(Sheet4!D103="?",ISNUMBER(Sheet4!D103)),MID(Sheet4!B103,4,20),IF(Sheet4!B103="________________","Σύνολα",IF(MID(Sheet4!B102,4,20)="Ballast","Σύνολα","")))</f>
        <v>Σύνολα</v>
      </c>
      <c r="C103">
        <f>IF(LEFT(A103,3)="TK-",VLOOKUP(A103,Sheet3!A:B,2,FALSE),IF(B103="Σύνολα",SUMIF(B$1:B$200,Sheet6!K102,C$1:C$200),""))</f>
        <v>86417</v>
      </c>
      <c r="D103" t="str">
        <f>IF(LEFT(A103,3)="TK-",VLOOKUP(A103,Sheet3!A:C,3,FALSE),"")</f>
        <v/>
      </c>
      <c r="E103">
        <f>IF(ISNUMBER(Sheet4!D103),ROUND(Sheet4!D103,1),IF(B103="Σύνολα",SUMIF(B$1:B$200,Sheet6!K102,E$1:E$200),""))</f>
        <v>8689.2000000000007</v>
      </c>
      <c r="F103" s="31" t="str">
        <f>IF(ISNUMBER(Sheet4!E103),Sheet4!E103,"")</f>
        <v/>
      </c>
      <c r="G103">
        <f>IF(ISNUMBER(Sheet4!G103),ROUND(Sheet4!G103,1),IF(B103="Σύνολα",SUMIF(B$1:B$200,Sheet6!K102,G$1:G$200),""))</f>
        <v>8444</v>
      </c>
      <c r="H103">
        <f>IF(ISNUMBER(Sheet4!F103),ROUND(Sheet4!F103,1),IF(B103="Σύνολα",SUMIF(B$1:B$200,Sheet6!K102,H$1:H$200),""))</f>
        <v>77734.399999999994</v>
      </c>
      <c r="I103">
        <f>IF(ISNUMBER(Sheet4!J103),ROUND(Sheet4!J103,1),IF(B103="Σύνολα",SUMIF(B$1:B$200,Sheet6!K102,I$1:I$200),""))</f>
        <v>2549.8000000000002</v>
      </c>
      <c r="J103">
        <f>IF(LEFT(A103,3)="TK-",VLOOKUP(A103,Sheet3!A:D,4,FALSE),IF(B103="Σύνολα",SUMIF(B$1:B$200,Sheet6!K102,J$1:J$200),""))</f>
        <v>4306</v>
      </c>
      <c r="K103">
        <f>IF(B103="Σύνολα",SUMIF(B$1:B$200,Sheet6!K102,K$1:K$200),IF(ISNUMBER(E103),IF(E103&gt;J103,ROUND((E103-J103),1),""),""))</f>
        <v>4383.2</v>
      </c>
      <c r="L103" s="6" t="str">
        <f>IF(ISNUMBER(Sheet4!J103),IF(AND(ISNUMBER(H103),H103&gt;0,I103&gt;0),ROUNDDOWN(H103/I103,0),""),"")</f>
        <v/>
      </c>
      <c r="M103" s="6" t="str">
        <f>IF(AND(ISNUMBER(Sheet4!J103),ISNUMBER(K103)),IF(I103&lt;0,ROUNDDOWN(K103/I103,0),""),"")</f>
        <v/>
      </c>
      <c r="N103" s="29" t="str">
        <f>IF(ISNUMBER(Sheet4!H103),Sheet4!H103/1000,"")</f>
        <v/>
      </c>
    </row>
    <row r="104" spans="1:14" ht="12.75" customHeight="1" x14ac:dyDescent="0.2">
      <c r="A104" t="str">
        <f>IF(OR(Sheet4!C104="?",ISNUMBER(Sheet4!C104)),Sheet4!A104,IF(B104="Σύνολα",B103,""))</f>
        <v/>
      </c>
      <c r="B104" s="94" t="str">
        <f>IF(OR(Sheet4!D104="?",ISNUMBER(Sheet4!D104)),MID(Sheet4!B104,4,20),IF(Sheet4!B104="________________","Σύνολα",IF(MID(Sheet4!B103,4,20)="Ballast","Σύνολα","")))</f>
        <v/>
      </c>
      <c r="C104" t="str">
        <f>IF(LEFT(A104,3)="TK-",VLOOKUP(A104,Sheet3!A:B,2,FALSE),IF(B104="Σύνολα",SUMIF(B$1:B$200,Sheet6!K103,C$1:C$200),""))</f>
        <v/>
      </c>
      <c r="D104" t="str">
        <f>IF(LEFT(A104,3)="TK-",VLOOKUP(A104,Sheet3!A:C,3,FALSE),"")</f>
        <v/>
      </c>
      <c r="E104" t="str">
        <f>IF(ISNUMBER(Sheet4!D104),ROUND(Sheet4!D104,1),IF(B104="Σύνολα",SUMIF(B$1:B$200,Sheet6!K103,E$1:E$200),""))</f>
        <v/>
      </c>
      <c r="F104" s="31" t="str">
        <f>IF(ISNUMBER(Sheet4!E104),Sheet4!E104,"")</f>
        <v/>
      </c>
      <c r="G104" t="str">
        <f>IF(ISNUMBER(Sheet4!G104),ROUND(Sheet4!G104,1),IF(B104="Σύνολα",SUMIF(B$1:B$200,Sheet6!K103,G$1:G$200),""))</f>
        <v/>
      </c>
      <c r="H104" t="str">
        <f>IF(ISNUMBER(Sheet4!F104),ROUND(Sheet4!F104,1),IF(B104="Σύνολα",SUMIF(B$1:B$200,Sheet6!K103,H$1:H$200),""))</f>
        <v/>
      </c>
      <c r="I104" t="str">
        <f>IF(ISNUMBER(Sheet4!J104),ROUND(Sheet4!J104,1),IF(B104="Σύνολα",SUMIF(B$1:B$200,Sheet6!K103,I$1:I$200),""))</f>
        <v/>
      </c>
      <c r="J104" t="str">
        <f>IF(LEFT(A104,3)="TK-",VLOOKUP(A104,Sheet3!A:D,4,FALSE),IF(B104="Σύνολα",SUMIF(B$1:B$200,Sheet6!K103,J$1:J$200),""))</f>
        <v/>
      </c>
      <c r="K104" t="str">
        <f>IF(B104="Σύνολα",SUMIF(B$1:B$200,Sheet6!K103,K$1:K$200),IF(ISNUMBER(E104),IF(E104&gt;J104,ROUND((E104-J104),1),""),""))</f>
        <v/>
      </c>
      <c r="L104" s="6" t="str">
        <f>IF(ISNUMBER(Sheet4!J104),IF(AND(ISNUMBER(H104),H104&gt;0,I104&gt;0),ROUNDDOWN(H104/I104,0),""),"")</f>
        <v/>
      </c>
      <c r="M104" s="6" t="str">
        <f>IF(AND(ISNUMBER(Sheet4!J104),ISNUMBER(K104)),IF(I104&lt;0,ROUNDDOWN(K104/I104,0),""),"")</f>
        <v/>
      </c>
      <c r="N104" s="29" t="str">
        <f>IF(ISNUMBER(Sheet4!H104),Sheet4!H104/1000,"")</f>
        <v/>
      </c>
    </row>
    <row r="105" spans="1:14" ht="12.75" customHeight="1" x14ac:dyDescent="0.2">
      <c r="A105" t="str">
        <f>IF(OR(Sheet4!C105="?",ISNUMBER(Sheet4!C105)),Sheet4!A105,IF(B105="Σύνολα",B104,""))</f>
        <v/>
      </c>
      <c r="B105" s="94" t="str">
        <f>IF(OR(Sheet4!D105="?",ISNUMBER(Sheet4!D105)),MID(Sheet4!B105,4,20),IF(Sheet4!B105="________________","Σύνολα",IF(MID(Sheet4!B104,4,20)="Ballast","Σύνολα","")))</f>
        <v/>
      </c>
      <c r="C105" t="str">
        <f>IF(LEFT(A105,3)="TK-",VLOOKUP(A105,Sheet3!A:B,2,FALSE),IF(B105="Σύνολα",SUMIF(B$1:B$200,Sheet6!K104,C$1:C$200),""))</f>
        <v/>
      </c>
      <c r="D105" t="str">
        <f>IF(LEFT(A105,3)="TK-",VLOOKUP(A105,Sheet3!A:C,3,FALSE),"")</f>
        <v/>
      </c>
      <c r="E105" t="str">
        <f>IF(ISNUMBER(Sheet4!D105),ROUND(Sheet4!D105,1),IF(B105="Σύνολα",SUMIF(B$1:B$200,Sheet6!K104,E$1:E$200),""))</f>
        <v/>
      </c>
      <c r="F105" s="31" t="str">
        <f>IF(ISNUMBER(Sheet4!E105),Sheet4!E105,"")</f>
        <v/>
      </c>
      <c r="G105" t="str">
        <f>IF(ISNUMBER(Sheet4!G105),ROUND(Sheet4!G105,1),IF(B105="Σύνολα",SUMIF(B$1:B$200,Sheet6!K104,G$1:G$200),""))</f>
        <v/>
      </c>
      <c r="H105" t="str">
        <f>IF(ISNUMBER(Sheet4!F105),ROUND(Sheet4!F105,1),IF(B105="Σύνολα",SUMIF(B$1:B$200,Sheet6!K104,H$1:H$200),""))</f>
        <v/>
      </c>
      <c r="I105" t="str">
        <f>IF(ISNUMBER(Sheet4!J105),ROUND(Sheet4!J105,1),IF(B105="Σύνολα",SUMIF(B$1:B$200,Sheet6!K104,I$1:I$200),""))</f>
        <v/>
      </c>
      <c r="J105" t="str">
        <f>IF(LEFT(A105,3)="TK-",VLOOKUP(A105,Sheet3!A:D,4,FALSE),IF(B105="Σύνολα",SUMIF(B$1:B$200,Sheet6!K104,J$1:J$200),""))</f>
        <v/>
      </c>
      <c r="K105" t="str">
        <f>IF(B105="Σύνολα",SUMIF(B$1:B$200,Sheet6!K104,K$1:K$200),IF(ISNUMBER(E105),IF(E105&gt;J105,ROUND((E105-J105),1),""),""))</f>
        <v/>
      </c>
      <c r="L105" s="6" t="str">
        <f>IF(ISNUMBER(Sheet4!J105),IF(AND(ISNUMBER(H105),H105&gt;0,I105&gt;0),ROUNDDOWN(H105/I105,0),""),"")</f>
        <v/>
      </c>
      <c r="M105" s="6" t="str">
        <f>IF(AND(ISNUMBER(Sheet4!J105),ISNUMBER(K105)),IF(I105&lt;0,ROUNDDOWN(K105/I105,0),""),"")</f>
        <v/>
      </c>
      <c r="N105" s="29" t="str">
        <f>IF(ISNUMBER(Sheet4!H105),Sheet4!H105/1000,"")</f>
        <v/>
      </c>
    </row>
    <row r="106" spans="1:14" ht="12.75" customHeight="1" x14ac:dyDescent="0.2">
      <c r="A106" t="str">
        <f>IF(OR(Sheet4!C106="?",ISNUMBER(Sheet4!C106)),Sheet4!A106,IF(B106="Σύνολα",B105,""))</f>
        <v>TK-6101</v>
      </c>
      <c r="B106" s="94" t="str">
        <f>IF(OR(Sheet4!D106="?",ISNUMBER(Sheet4!D106)),MID(Sheet4!B106,4,20),IF(Sheet4!B106="________________","Σύνολα",IF(MID(Sheet4!B105,4,20)="Ballast","Σύνολα","")))</f>
        <v>FO Low sulf</v>
      </c>
      <c r="C106">
        <f>IF(LEFT(A106,3)="TK-",VLOOKUP(A106,Sheet3!A:B,2,FALSE),IF(B106="Σύνολα",SUMIF(B$1:B$200,Sheet6!K105,C$1:C$200),""))</f>
        <v>1703</v>
      </c>
      <c r="D106" t="str">
        <f>IF(LEFT(A106,3)="TK-",VLOOKUP(A106,Sheet3!A:C,3,FALSE),"")</f>
        <v>141+11</v>
      </c>
      <c r="E106">
        <f>IF(ISNUMBER(Sheet4!D106),ROUND(Sheet4!D106,1),IF(B106="Σύνολα",SUMIF(B$1:B$200,Sheet6!K105,E$1:E$200),""))</f>
        <v>1156.8</v>
      </c>
      <c r="F106" s="31">
        <f>IF(ISNUMBER(Sheet4!E106),Sheet4!E106,"")</f>
        <v>69</v>
      </c>
      <c r="G106">
        <f>IF(ISNUMBER(Sheet4!G106),ROUND(Sheet4!G106,1),IF(B106="Σύνολα",SUMIF(B$1:B$200,Sheet6!K105,G$1:G$200),""))</f>
        <v>1113.7</v>
      </c>
      <c r="H106">
        <f>IF(ISNUMBER(Sheet4!F106),ROUND(Sheet4!F106,1),IF(B106="Σύνολα",SUMIF(B$1:B$200,Sheet6!K105,H$1:H$200),""))</f>
        <v>549</v>
      </c>
      <c r="I106">
        <f>IF(ISNUMBER(Sheet4!J106),ROUND(Sheet4!J106,1),IF(B106="Σύνολα",SUMIF(B$1:B$200,Sheet6!K105,I$1:I$200),""))</f>
        <v>-29</v>
      </c>
      <c r="J106">
        <f>IF(LEFT(A106,3)="TK-",VLOOKUP(A106,Sheet3!A:D,4,FALSE),IF(B106="Σύνολα",SUMIF(B$1:B$200,Sheet6!K105,J$1:J$200),""))</f>
        <v>300</v>
      </c>
      <c r="K106">
        <f>IF(B106="Σύνολα",SUMIF(B$1:B$200,Sheet6!K105,K$1:K$200),IF(ISNUMBER(E106),IF(E106&gt;J106,ROUND((E106-J106),1),""),""))</f>
        <v>856.8</v>
      </c>
      <c r="L106" s="6" t="str">
        <f>IF(ISNUMBER(Sheet4!J106),IF(AND(ISNUMBER(H106),H106&gt;0,I106&gt;0),ROUNDDOWN(H106/I106,0),""),"")</f>
        <v/>
      </c>
      <c r="M106" s="6">
        <f>IF(AND(ISNUMBER(Sheet4!J106),ISNUMBER(K106)),IF(I106&lt;0,ROUNDDOWN(K106/I106,0),""),"")</f>
        <v>-29</v>
      </c>
      <c r="N106" s="29">
        <f>IF(ISNUMBER(Sheet4!H106),Sheet4!H106/1000,"")</f>
        <v>0.98870000000000002</v>
      </c>
    </row>
    <row r="107" spans="1:14" ht="12.75" customHeight="1" x14ac:dyDescent="0.2">
      <c r="A107" t="str">
        <f>IF(OR(Sheet4!C107="?",ISNUMBER(Sheet4!C107)),Sheet4!A107,IF(B107="Σύνολα",B106,""))</f>
        <v>FO Low sulf</v>
      </c>
      <c r="B107" s="94" t="str">
        <f>IF(OR(Sheet4!D107="?",ISNUMBER(Sheet4!D107)),MID(Sheet4!B107,4,20),IF(Sheet4!B107="________________","Σύνολα",IF(MID(Sheet4!B106,4,20)="Ballast","Σύνολα","")))</f>
        <v>Σύνολα</v>
      </c>
      <c r="C107">
        <f>IF(LEFT(A107,3)="TK-",VLOOKUP(A107,Sheet3!A:B,2,FALSE),IF(B107="Σύνολα",SUMIF(B$1:B$200,Sheet6!K106,C$1:C$200),""))</f>
        <v>1703</v>
      </c>
      <c r="D107" t="str">
        <f>IF(LEFT(A107,3)="TK-",VLOOKUP(A107,Sheet3!A:C,3,FALSE),"")</f>
        <v/>
      </c>
      <c r="E107">
        <f>IF(ISNUMBER(Sheet4!D107),ROUND(Sheet4!D107,1),IF(B107="Σύνολα",SUMIF(B$1:B$200,Sheet6!K106,E$1:E$200),""))</f>
        <v>1156.8</v>
      </c>
      <c r="F107" s="31" t="str">
        <f>IF(ISNUMBER(Sheet4!E107),Sheet4!E107,"")</f>
        <v/>
      </c>
      <c r="G107">
        <f>IF(ISNUMBER(Sheet4!G107),ROUND(Sheet4!G107,1),IF(B107="Σύνολα",SUMIF(B$1:B$200,Sheet6!K106,G$1:G$200),""))</f>
        <v>1113.7</v>
      </c>
      <c r="H107">
        <f>IF(ISNUMBER(Sheet4!F107),ROUND(Sheet4!F107,1),IF(B107="Σύνολα",SUMIF(B$1:B$200,Sheet6!K106,H$1:H$200),""))</f>
        <v>549</v>
      </c>
      <c r="I107">
        <f>IF(ISNUMBER(Sheet4!J107),ROUND(Sheet4!J107,1),IF(B107="Σύνολα",SUMIF(B$1:B$200,Sheet6!K106,I$1:I$200),""))</f>
        <v>-29</v>
      </c>
      <c r="J107">
        <f>IF(LEFT(A107,3)="TK-",VLOOKUP(A107,Sheet3!A:D,4,FALSE),IF(B107="Σύνολα",SUMIF(B$1:B$200,Sheet6!K106,J$1:J$200),""))</f>
        <v>300</v>
      </c>
      <c r="K107">
        <f>IF(B107="Σύνολα",SUMIF(B$1:B$200,Sheet6!K106,K$1:K$200),IF(ISNUMBER(E107),IF(E107&gt;J107,ROUND((E107-J107),1),""),""))</f>
        <v>856.8</v>
      </c>
      <c r="L107" s="6" t="str">
        <f>IF(ISNUMBER(Sheet4!J107),IF(AND(ISNUMBER(H107),H107&gt;0,I107&gt;0),ROUNDDOWN(H107/I107,0),""),"")</f>
        <v/>
      </c>
      <c r="M107" s="6" t="str">
        <f>IF(AND(ISNUMBER(Sheet4!J107),ISNUMBER(K107)),IF(I107&lt;0,ROUNDDOWN(K107/I107,0),""),"")</f>
        <v/>
      </c>
      <c r="N107" s="29" t="str">
        <f>IF(ISNUMBER(Sheet4!H107),Sheet4!H107/1000,"")</f>
        <v/>
      </c>
    </row>
    <row r="108" spans="1:14" ht="12.75" customHeight="1" x14ac:dyDescent="0.2">
      <c r="A108" t="str">
        <f>IF(OR(Sheet4!C108="?",ISNUMBER(Sheet4!C108)),Sheet4!A108,IF(B108="Σύνολα",B107,""))</f>
        <v/>
      </c>
      <c r="B108" s="94" t="str">
        <f>IF(OR(Sheet4!D108="?",ISNUMBER(Sheet4!D108)),MID(Sheet4!B108,4,20),IF(Sheet4!B108="________________","Σύνολα",IF(MID(Sheet4!B107,4,20)="Ballast","Σύνολα","")))</f>
        <v/>
      </c>
      <c r="C108" t="str">
        <f>IF(LEFT(A108,3)="TK-",VLOOKUP(A108,Sheet3!A:B,2,FALSE),IF(B108="Σύνολα",SUMIF(B$1:B$200,Sheet6!K107,C$1:C$200),""))</f>
        <v/>
      </c>
      <c r="D108" t="str">
        <f>IF(LEFT(A108,3)="TK-",VLOOKUP(A108,Sheet3!A:C,3,FALSE),"")</f>
        <v/>
      </c>
      <c r="E108" t="str">
        <f>IF(ISNUMBER(Sheet4!D108),ROUND(Sheet4!D108,1),IF(B108="Σύνολα",SUMIF(B$1:B$200,Sheet6!K107,E$1:E$200),""))</f>
        <v/>
      </c>
      <c r="F108" s="31" t="str">
        <f>IF(ISNUMBER(Sheet4!E108),Sheet4!E108,"")</f>
        <v/>
      </c>
      <c r="G108" t="str">
        <f>IF(ISNUMBER(Sheet4!G108),ROUND(Sheet4!G108,1),IF(B108="Σύνολα",SUMIF(B$1:B$200,Sheet6!K107,G$1:G$200),""))</f>
        <v/>
      </c>
      <c r="H108" t="str">
        <f>IF(ISNUMBER(Sheet4!F108),ROUND(Sheet4!F108,1),IF(B108="Σύνολα",SUMIF(B$1:B$200,Sheet6!K107,H$1:H$200),""))</f>
        <v/>
      </c>
      <c r="I108" t="str">
        <f>IF(ISNUMBER(Sheet4!J108),ROUND(Sheet4!J108,1),IF(B108="Σύνολα",SUMIF(B$1:B$200,Sheet6!K107,I$1:I$200),""))</f>
        <v/>
      </c>
      <c r="J108" t="str">
        <f>IF(LEFT(A108,3)="TK-",VLOOKUP(A108,Sheet3!A:D,4,FALSE),IF(B108="Σύνολα",SUMIF(B$1:B$200,Sheet6!K107,J$1:J$200),""))</f>
        <v/>
      </c>
      <c r="K108" t="str">
        <f>IF(B108="Σύνολα",SUMIF(B$1:B$200,Sheet6!K107,K$1:K$200),IF(ISNUMBER(E108),IF(E108&gt;J108,ROUND((E108-J108),1),""),""))</f>
        <v/>
      </c>
      <c r="L108" s="6" t="str">
        <f>IF(ISNUMBER(Sheet4!J108),IF(AND(ISNUMBER(H108),H108&gt;0,I108&gt;0),ROUNDDOWN(H108/I108,0),""),"")</f>
        <v/>
      </c>
      <c r="M108" s="6" t="str">
        <f>IF(AND(ISNUMBER(Sheet4!J108),ISNUMBER(K108)),IF(I108&lt;0,ROUNDDOWN(K108/I108,0),""),"")</f>
        <v/>
      </c>
      <c r="N108" s="29" t="str">
        <f>IF(ISNUMBER(Sheet4!H108),Sheet4!H108/1000,"")</f>
        <v/>
      </c>
    </row>
    <row r="109" spans="1:14" ht="12.75" customHeight="1" x14ac:dyDescent="0.2">
      <c r="A109" t="str">
        <f>IF(OR(Sheet4!C109="?",ISNUMBER(Sheet4!C109)),Sheet4!A109,IF(B109="Σύνολα",B108,""))</f>
        <v/>
      </c>
      <c r="B109" s="94" t="str">
        <f>IF(OR(Sheet4!D109="?",ISNUMBER(Sheet4!D109)),MID(Sheet4!B109,4,20),IF(Sheet4!B109="________________","Σύνολα",IF(MID(Sheet4!B108,4,20)="Ballast","Σύνολα","")))</f>
        <v/>
      </c>
      <c r="C109" t="str">
        <f>IF(LEFT(A109,3)="TK-",VLOOKUP(A109,Sheet3!A:B,2,FALSE),IF(B109="Σύνολα",SUMIF(B$1:B$200,Sheet6!K108,C$1:C$200),""))</f>
        <v/>
      </c>
      <c r="D109" t="str">
        <f>IF(LEFT(A109,3)="TK-",VLOOKUP(A109,Sheet3!A:C,3,FALSE),"")</f>
        <v/>
      </c>
      <c r="E109" t="str">
        <f>IF(ISNUMBER(Sheet4!D109),ROUND(Sheet4!D109,1),IF(B109="Σύνολα",SUMIF(B$1:B$200,Sheet6!K108,E$1:E$200),""))</f>
        <v/>
      </c>
      <c r="F109" s="31" t="str">
        <f>IF(ISNUMBER(Sheet4!E109),Sheet4!E109,"")</f>
        <v/>
      </c>
      <c r="G109" t="str">
        <f>IF(ISNUMBER(Sheet4!G109),ROUND(Sheet4!G109,1),IF(B109="Σύνολα",SUMIF(B$1:B$200,Sheet6!K108,G$1:G$200),""))</f>
        <v/>
      </c>
      <c r="H109" t="str">
        <f>IF(ISNUMBER(Sheet4!F109),ROUND(Sheet4!F109,1),IF(B109="Σύνολα",SUMIF(B$1:B$200,Sheet6!K108,H$1:H$200),""))</f>
        <v/>
      </c>
      <c r="I109" t="str">
        <f>IF(ISNUMBER(Sheet4!J109),ROUND(Sheet4!J109,1),IF(B109="Σύνολα",SUMIF(B$1:B$200,Sheet6!K108,I$1:I$200),""))</f>
        <v/>
      </c>
      <c r="J109" t="str">
        <f>IF(LEFT(A109,3)="TK-",VLOOKUP(A109,Sheet3!A:D,4,FALSE),IF(B109="Σύνολα",SUMIF(B$1:B$200,Sheet6!K108,J$1:J$200),""))</f>
        <v/>
      </c>
      <c r="K109" t="str">
        <f>IF(B109="Σύνολα",SUMIF(B$1:B$200,Sheet6!K108,K$1:K$200),IF(ISNUMBER(E109),IF(E109&gt;J109,ROUND((E109-J109),1),""),""))</f>
        <v/>
      </c>
      <c r="L109" s="6" t="str">
        <f>IF(ISNUMBER(Sheet4!J109),IF(AND(ISNUMBER(H109),H109&gt;0,I109&gt;0),ROUNDDOWN(H109/I109,0),""),"")</f>
        <v/>
      </c>
      <c r="M109" s="6" t="str">
        <f>IF(AND(ISNUMBER(Sheet4!J109),ISNUMBER(K109)),IF(I109&lt;0,ROUNDDOWN(K109/I109,0),""),"")</f>
        <v/>
      </c>
      <c r="N109" s="29" t="str">
        <f>IF(ISNUMBER(Sheet4!H109),Sheet4!H109/1000,"")</f>
        <v/>
      </c>
    </row>
    <row r="110" spans="1:14" ht="12.75" customHeight="1" x14ac:dyDescent="0.2">
      <c r="A110" t="str">
        <f>IF(OR(Sheet4!C110="?",ISNUMBER(Sheet4!C110)),Sheet4!A110,IF(B110="Σύνολα",B109,""))</f>
        <v>TK-828</v>
      </c>
      <c r="B110" s="94" t="str">
        <f>IF(OR(Sheet4!D110="?",ISNUMBER(Sheet4!D110)),MID(Sheet4!B110,4,20),IF(Sheet4!B110="________________","Σύνολα",IF(MID(Sheet4!B109,4,20)="Ballast","Σύνολα","")))</f>
        <v>FO LS No1</v>
      </c>
      <c r="C110">
        <f>IF(LEFT(A110,3)="TK-",VLOOKUP(A110,Sheet3!A:B,2,FALSE),IF(B110="Σύνολα",SUMIF(B$1:B$200,Sheet6!K109,C$1:C$200),""))</f>
        <v>3630</v>
      </c>
      <c r="D110" t="str">
        <f>IF(LEFT(A110,3)="TK-",VLOOKUP(A110,Sheet3!A:C,3,FALSE),"")</f>
        <v>299 + 47</v>
      </c>
      <c r="E110">
        <f>IF(ISNUMBER(Sheet4!D110),ROUND(Sheet4!D110,1),IF(B110="Σύνολα",SUMIF(B$1:B$200,Sheet6!K109,E$1:E$200),""))</f>
        <v>1635.8</v>
      </c>
      <c r="F110" s="31">
        <f>IF(ISNUMBER(Sheet4!E110),Sheet4!E110,"")</f>
        <v>60.1</v>
      </c>
      <c r="G110">
        <f>IF(ISNUMBER(Sheet4!G110),ROUND(Sheet4!G110,1),IF(B110="Σύνολα",SUMIF(B$1:B$200,Sheet6!K109,G$1:G$200),""))</f>
        <v>1581.4</v>
      </c>
      <c r="H110">
        <f>IF(ISNUMBER(Sheet4!F110),ROUND(Sheet4!F110,1),IF(B110="Σύνολα",SUMIF(B$1:B$200,Sheet6!K109,H$1:H$200),""))</f>
        <v>1995.7</v>
      </c>
      <c r="I110">
        <f>IF(ISNUMBER(Sheet4!J110),ROUND(Sheet4!J110,1),IF(B110="Σύνολα",SUMIF(B$1:B$200,Sheet6!K109,I$1:I$200),""))</f>
        <v>-171.4</v>
      </c>
      <c r="J110">
        <f>IF(LEFT(A110,3)="TK-",VLOOKUP(A110,Sheet3!A:D,4,FALSE),IF(B110="Σύνολα",SUMIF(B$1:B$200,Sheet6!K109,J$1:J$200),""))</f>
        <v>170</v>
      </c>
      <c r="K110">
        <f>IF(B110="Σύνολα",SUMIF(B$1:B$200,Sheet6!K109,K$1:K$200),IF(ISNUMBER(E110),IF(E110&gt;J110,ROUND((E110-J110),1),""),""))</f>
        <v>1465.8</v>
      </c>
      <c r="L110" s="6" t="str">
        <f>IF(ISNUMBER(Sheet4!J110),IF(AND(ISNUMBER(H110),H110&gt;0,I110&gt;0),ROUNDDOWN(H110/I110,0),""),"")</f>
        <v/>
      </c>
      <c r="M110" s="6">
        <f>IF(AND(ISNUMBER(Sheet4!J110),ISNUMBER(K110)),IF(I110&lt;0,ROUNDDOWN(K110/I110,0),""),"")</f>
        <v>-8</v>
      </c>
      <c r="N110" s="29">
        <f>IF(ISNUMBER(Sheet4!H110),Sheet4!H110/1000,"")</f>
        <v>0.97750000000000004</v>
      </c>
    </row>
    <row r="111" spans="1:14" ht="12.75" customHeight="1" x14ac:dyDescent="0.2">
      <c r="A111" t="str">
        <f>IF(OR(Sheet4!C111="?",ISNUMBER(Sheet4!C111)),Sheet4!A111,IF(B111="Σύνολα",B110,""))</f>
        <v>TK-843</v>
      </c>
      <c r="B111" s="94" t="str">
        <f>IF(OR(Sheet4!D111="?",ISNUMBER(Sheet4!D111)),MID(Sheet4!B111,4,20),IF(Sheet4!B111="________________","Σύνολα",IF(MID(Sheet4!B110,4,20)="Ballast","Σύνολα","")))</f>
        <v>FO LS No1</v>
      </c>
      <c r="C111">
        <f>IF(LEFT(A111,3)="TK-",VLOOKUP(A111,Sheet3!A:B,2,FALSE),IF(B111="Σύνολα",SUMIF(B$1:B$200,Sheet6!K110,C$1:C$200),""))</f>
        <v>2797</v>
      </c>
      <c r="D111" t="str">
        <f>IF(LEFT(A111,3)="TK-",VLOOKUP(A111,Sheet3!A:C,3,FALSE),"")</f>
        <v>237 + 32</v>
      </c>
      <c r="E111">
        <f>IF(ISNUMBER(Sheet4!D111),ROUND(Sheet4!D111,1),IF(B111="Σύνολα",SUMIF(B$1:B$200,Sheet6!K110,E$1:E$200),""))</f>
        <v>264.8</v>
      </c>
      <c r="F111" s="31">
        <f>IF(ISNUMBER(Sheet4!E111),Sheet4!E111,"")</f>
        <v>26.2</v>
      </c>
      <c r="G111">
        <f>IF(ISNUMBER(Sheet4!G111),ROUND(Sheet4!G111,1),IF(B111="Σύνολα",SUMIF(B$1:B$200,Sheet6!K110,G$1:G$200),""))</f>
        <v>262.7</v>
      </c>
      <c r="H111">
        <f>IF(ISNUMBER(Sheet4!F111),ROUND(Sheet4!F111,1),IF(B111="Σύνολα",SUMIF(B$1:B$200,Sheet6!K110,H$1:H$200),""))</f>
        <v>2532.3000000000002</v>
      </c>
      <c r="I111">
        <f>IF(ISNUMBER(Sheet4!J111),ROUND(Sheet4!J111,1),IF(B111="Σύνολα",SUMIF(B$1:B$200,Sheet6!K110,I$1:I$200),""))</f>
        <v>0.4</v>
      </c>
      <c r="J111">
        <f>IF(LEFT(A111,3)="TK-",VLOOKUP(A111,Sheet3!A:D,4,FALSE),IF(B111="Σύνολα",SUMIF(B$1:B$200,Sheet6!K110,J$1:J$200),""))</f>
        <v>150</v>
      </c>
      <c r="K111">
        <f>IF(B111="Σύνολα",SUMIF(B$1:B$200,Sheet6!K110,K$1:K$200),IF(ISNUMBER(E111),IF(E111&gt;J111,ROUND((E111-J111),1),""),""))</f>
        <v>114.8</v>
      </c>
      <c r="L111" s="6">
        <f>IF(ISNUMBER(Sheet4!J111),IF(AND(ISNUMBER(H111),H111&gt;0,I111&gt;0),ROUNDDOWN(H111/I111,0),""),"")</f>
        <v>6330</v>
      </c>
      <c r="M111" s="6" t="str">
        <f>IF(AND(ISNUMBER(Sheet4!J111),ISNUMBER(K111)),IF(I111&lt;0,ROUNDDOWN(K111/I111,0),""),"")</f>
        <v/>
      </c>
      <c r="N111" s="29">
        <f>IF(ISNUMBER(Sheet4!H111),Sheet4!H111/1000,"")</f>
        <v>0.97750000000000004</v>
      </c>
    </row>
    <row r="112" spans="1:14" ht="12.75" customHeight="1" x14ac:dyDescent="0.2">
      <c r="A112" t="str">
        <f>IF(OR(Sheet4!C112="?",ISNUMBER(Sheet4!C112)),Sheet4!A112,IF(B112="Σύνολα",B111,""))</f>
        <v>FO LS No1</v>
      </c>
      <c r="B112" s="94" t="str">
        <f>IF(OR(Sheet4!D112="?",ISNUMBER(Sheet4!D112)),MID(Sheet4!B112,4,20),IF(Sheet4!B112="________________","Σύνολα",IF(MID(Sheet4!B111,4,20)="Ballast","Σύνολα","")))</f>
        <v>Σύνολα</v>
      </c>
      <c r="C112">
        <f>IF(LEFT(A112,3)="TK-",VLOOKUP(A112,Sheet3!A:B,2,FALSE),IF(B112="Σύνολα",SUMIF(B$1:B$200,Sheet6!K111,C$1:C$200),""))</f>
        <v>6427</v>
      </c>
      <c r="D112" t="str">
        <f>IF(LEFT(A112,3)="TK-",VLOOKUP(A112,Sheet3!A:C,3,FALSE),"")</f>
        <v/>
      </c>
      <c r="E112">
        <f>IF(ISNUMBER(Sheet4!D112),ROUND(Sheet4!D112,1),IF(B112="Σύνολα",SUMIF(B$1:B$200,Sheet6!K111,E$1:E$200),""))</f>
        <v>1900.6</v>
      </c>
      <c r="F112" s="31" t="str">
        <f>IF(ISNUMBER(Sheet4!E112),Sheet4!E112,"")</f>
        <v/>
      </c>
      <c r="G112">
        <f>IF(ISNUMBER(Sheet4!G112),ROUND(Sheet4!G112,1),IF(B112="Σύνολα",SUMIF(B$1:B$200,Sheet6!K111,G$1:G$200),""))</f>
        <v>1844.1000000000001</v>
      </c>
      <c r="H112">
        <f>IF(ISNUMBER(Sheet4!F112),ROUND(Sheet4!F112,1),IF(B112="Σύνολα",SUMIF(B$1:B$200,Sheet6!K111,H$1:H$200),""))</f>
        <v>4528</v>
      </c>
      <c r="I112">
        <f>IF(ISNUMBER(Sheet4!J112),ROUND(Sheet4!J112,1),IF(B112="Σύνολα",SUMIF(B$1:B$200,Sheet6!K111,I$1:I$200),""))</f>
        <v>-171</v>
      </c>
      <c r="J112">
        <f>IF(LEFT(A112,3)="TK-",VLOOKUP(A112,Sheet3!A:D,4,FALSE),IF(B112="Σύνολα",SUMIF(B$1:B$200,Sheet6!K111,J$1:J$200),""))</f>
        <v>320</v>
      </c>
      <c r="K112">
        <f>IF(B112="Σύνολα",SUMIF(B$1:B$200,Sheet6!K111,K$1:K$200),IF(ISNUMBER(E112),IF(E112&gt;J112,ROUND((E112-J112),1),""),""))</f>
        <v>1580.6</v>
      </c>
      <c r="L112" s="6" t="str">
        <f>IF(ISNUMBER(Sheet4!J112),IF(AND(ISNUMBER(H112),H112&gt;0,I112&gt;0),ROUNDDOWN(H112/I112,0),""),"")</f>
        <v/>
      </c>
      <c r="M112" s="6" t="str">
        <f>IF(AND(ISNUMBER(Sheet4!J112),ISNUMBER(K112)),IF(I112&lt;0,ROUNDDOWN(K112/I112,0),""),"")</f>
        <v/>
      </c>
      <c r="N112" s="29" t="str">
        <f>IF(ISNUMBER(Sheet4!H112),Sheet4!H112/1000,"")</f>
        <v/>
      </c>
    </row>
    <row r="113" spans="1:14" ht="12.75" customHeight="1" x14ac:dyDescent="0.2">
      <c r="A113" t="str">
        <f>IF(OR(Sheet4!C113="?",ISNUMBER(Sheet4!C113)),Sheet4!A113,IF(B113="Σύνολα",B112,""))</f>
        <v/>
      </c>
      <c r="B113" s="94" t="str">
        <f>IF(OR(Sheet4!D113="?",ISNUMBER(Sheet4!D113)),MID(Sheet4!B113,4,20),IF(Sheet4!B113="________________","Σύνολα",IF(MID(Sheet4!B112,4,20)="Ballast","Σύνολα","")))</f>
        <v/>
      </c>
      <c r="C113" t="str">
        <f>IF(LEFT(A113,3)="TK-",VLOOKUP(A113,Sheet3!A:B,2,FALSE),IF(B113="Σύνολα",SUMIF(B$1:B$200,Sheet6!K112,C$1:C$200),""))</f>
        <v/>
      </c>
      <c r="D113" t="str">
        <f>IF(LEFT(A113,3)="TK-",VLOOKUP(A113,Sheet3!A:C,3,FALSE),"")</f>
        <v/>
      </c>
      <c r="E113" t="str">
        <f>IF(ISNUMBER(Sheet4!D113),ROUND(Sheet4!D113,1),IF(B113="Σύνολα",SUMIF(B$1:B$200,Sheet6!K112,E$1:E$200),""))</f>
        <v/>
      </c>
      <c r="F113" s="31" t="str">
        <f>IF(ISNUMBER(Sheet4!E113),Sheet4!E113,"")</f>
        <v/>
      </c>
      <c r="G113" t="str">
        <f>IF(ISNUMBER(Sheet4!G113),ROUND(Sheet4!G113,1),IF(B113="Σύνολα",SUMIF(B$1:B$200,Sheet6!K112,G$1:G$200),""))</f>
        <v/>
      </c>
      <c r="H113" t="str">
        <f>IF(ISNUMBER(Sheet4!F113),ROUND(Sheet4!F113,1),IF(B113="Σύνολα",SUMIF(B$1:B$200,Sheet6!K112,H$1:H$200),""))</f>
        <v/>
      </c>
      <c r="I113" t="str">
        <f>IF(ISNUMBER(Sheet4!J113),ROUND(Sheet4!J113,1),IF(B113="Σύνολα",SUMIF(B$1:B$200,Sheet6!K112,I$1:I$200),""))</f>
        <v/>
      </c>
      <c r="J113" t="str">
        <f>IF(LEFT(A113,3)="TK-",VLOOKUP(A113,Sheet3!A:D,4,FALSE),IF(B113="Σύνολα",SUMIF(B$1:B$200,Sheet6!K112,J$1:J$200),""))</f>
        <v/>
      </c>
      <c r="K113" t="str">
        <f>IF(B113="Σύνολα",SUMIF(B$1:B$200,Sheet6!K112,K$1:K$200),IF(ISNUMBER(E113),IF(E113&gt;J113,ROUND((E113-J113),1),""),""))</f>
        <v/>
      </c>
      <c r="L113" s="6" t="str">
        <f>IF(ISNUMBER(Sheet4!J113),IF(AND(ISNUMBER(H113),H113&gt;0,I113&gt;0),ROUNDDOWN(H113/I113,0),""),"")</f>
        <v/>
      </c>
      <c r="M113" s="6" t="str">
        <f>IF(AND(ISNUMBER(Sheet4!J113),ISNUMBER(K113)),IF(I113&lt;0,ROUNDDOWN(K113/I113,0),""),"")</f>
        <v/>
      </c>
      <c r="N113" s="29" t="str">
        <f>IF(ISNUMBER(Sheet4!H113),Sheet4!H113/1000,"")</f>
        <v/>
      </c>
    </row>
    <row r="114" spans="1:14" ht="12.75" customHeight="1" x14ac:dyDescent="0.2">
      <c r="A114" t="str">
        <f>IF(OR(Sheet4!C114="?",ISNUMBER(Sheet4!C114)),Sheet4!A114,IF(B114="Σύνολα",B113,""))</f>
        <v/>
      </c>
      <c r="B114" s="94" t="str">
        <f>IF(OR(Sheet4!D114="?",ISNUMBER(Sheet4!D114)),MID(Sheet4!B114,4,20),IF(Sheet4!B114="________________","Σύνολα",IF(MID(Sheet4!B113,4,20)="Ballast","Σύνολα","")))</f>
        <v/>
      </c>
      <c r="C114" t="str">
        <f>IF(LEFT(A114,3)="TK-",VLOOKUP(A114,Sheet3!A:B,2,FALSE),IF(B114="Σύνολα",SUMIF(B$1:B$200,Sheet6!K113,C$1:C$200),""))</f>
        <v/>
      </c>
      <c r="D114" t="str">
        <f>IF(LEFT(A114,3)="TK-",VLOOKUP(A114,Sheet3!A:C,3,FALSE),"")</f>
        <v/>
      </c>
      <c r="E114" t="str">
        <f>IF(ISNUMBER(Sheet4!D114),ROUND(Sheet4!D114,1),IF(B114="Σύνολα",SUMIF(B$1:B$200,Sheet6!K113,E$1:E$200),""))</f>
        <v/>
      </c>
      <c r="F114" s="31" t="str">
        <f>IF(ISNUMBER(Sheet4!E114),Sheet4!E114,"")</f>
        <v/>
      </c>
      <c r="G114" t="str">
        <f>IF(ISNUMBER(Sheet4!G114),ROUND(Sheet4!G114,1),IF(B114="Σύνολα",SUMIF(B$1:B$200,Sheet6!K113,G$1:G$200),""))</f>
        <v/>
      </c>
      <c r="H114" t="str">
        <f>IF(ISNUMBER(Sheet4!F114),ROUND(Sheet4!F114,1),IF(B114="Σύνολα",SUMIF(B$1:B$200,Sheet6!K113,H$1:H$200),""))</f>
        <v/>
      </c>
      <c r="I114" t="str">
        <f>IF(ISNUMBER(Sheet4!J114),ROUND(Sheet4!J114,1),IF(B114="Σύνολα",SUMIF(B$1:B$200,Sheet6!K113,I$1:I$200),""))</f>
        <v/>
      </c>
      <c r="J114" t="str">
        <f>IF(LEFT(A114,3)="TK-",VLOOKUP(A114,Sheet3!A:D,4,FALSE),IF(B114="Σύνολα",SUMIF(B$1:B$200,Sheet6!K113,J$1:J$200),""))</f>
        <v/>
      </c>
      <c r="K114" t="str">
        <f>IF(B114="Σύνολα",SUMIF(B$1:B$200,Sheet6!K113,K$1:K$200),IF(ISNUMBER(E114),IF(E114&gt;J114,ROUND((E114-J114),1),""),""))</f>
        <v/>
      </c>
      <c r="L114" s="6" t="str">
        <f>IF(ISNUMBER(Sheet4!J114),IF(AND(ISNUMBER(H114),H114&gt;0,I114&gt;0),ROUNDDOWN(H114/I114,0),""),"")</f>
        <v/>
      </c>
      <c r="M114" s="6" t="str">
        <f>IF(AND(ISNUMBER(Sheet4!J114),ISNUMBER(K114)),IF(I114&lt;0,ROUNDDOWN(K114/I114,0),""),"")</f>
        <v/>
      </c>
      <c r="N114" s="29" t="str">
        <f>IF(ISNUMBER(Sheet4!H114),Sheet4!H114/1000,"")</f>
        <v/>
      </c>
    </row>
    <row r="115" spans="1:14" ht="12.75" customHeight="1" x14ac:dyDescent="0.2">
      <c r="A115" t="str">
        <f>IF(OR(Sheet4!C115="?",ISNUMBER(Sheet4!C115)),Sheet4!A115,IF(B115="Σύνολα",B114,""))</f>
        <v>TK-827</v>
      </c>
      <c r="B115" s="94" t="str">
        <f>IF(OR(Sheet4!D115="?",ISNUMBER(Sheet4!D115)),MID(Sheet4!B115,4,20),IF(Sheet4!B115="________________","Σύνολα",IF(MID(Sheet4!B114,4,20)="Ballast","Σύνολα","")))</f>
        <v>FO LS No3</v>
      </c>
      <c r="C115">
        <f>IF(LEFT(A115,3)="TK-",VLOOKUP(A115,Sheet3!A:B,2,FALSE),IF(B115="Σύνολα",SUMIF(B$1:B$200,Sheet6!K114,C$1:C$200),""))</f>
        <v>19446</v>
      </c>
      <c r="D115" t="str">
        <f>IF(LEFT(A115,3)="TK-",VLOOKUP(A115,Sheet3!A:C,3,FALSE),"")</f>
        <v>1368+ 269</v>
      </c>
      <c r="E115">
        <f>IF(ISNUMBER(Sheet4!D115),ROUND(Sheet4!D115,1),IF(B115="Σύνολα",SUMIF(B$1:B$200,Sheet6!K114,E$1:E$200),""))</f>
        <v>17036.400000000001</v>
      </c>
      <c r="F115" s="31">
        <f>IF(ISNUMBER(Sheet4!E115),Sheet4!E115,"")</f>
        <v>60.9</v>
      </c>
      <c r="G115">
        <f>IF(ISNUMBER(Sheet4!G115),ROUND(Sheet4!G115,1),IF(B115="Σύνολα",SUMIF(B$1:B$200,Sheet6!K114,G$1:G$200),""))</f>
        <v>16546.8</v>
      </c>
      <c r="H115">
        <f>IF(ISNUMBER(Sheet4!F115),ROUND(Sheet4!F115,1),IF(B115="Σύνολα",SUMIF(B$1:B$200,Sheet6!K114,H$1:H$200),""))</f>
        <v>2427.1</v>
      </c>
      <c r="I115">
        <f>IF(ISNUMBER(Sheet4!J115),ROUND(Sheet4!J115,1),IF(B115="Σύνολα",SUMIF(B$1:B$200,Sheet6!K114,I$1:I$200),""))</f>
        <v>-197.8</v>
      </c>
      <c r="J115">
        <f>IF(LEFT(A115,3)="TK-",VLOOKUP(A115,Sheet3!A:D,4,FALSE),IF(B115="Σύνολα",SUMIF(B$1:B$200,Sheet6!K114,J$1:J$200),""))</f>
        <v>950</v>
      </c>
      <c r="K115">
        <f>IF(B115="Σύνολα",SUMIF(B$1:B$200,Sheet6!K114,K$1:K$200),IF(ISNUMBER(E115),IF(E115&gt;J115,ROUND((E115-J115),1),""),""))</f>
        <v>16086.4</v>
      </c>
      <c r="L115" s="6" t="str">
        <f>IF(ISNUMBER(Sheet4!J115),IF(AND(ISNUMBER(H115),H115&gt;0,I115&gt;0),ROUNDDOWN(H115/I115,0),""),"")</f>
        <v/>
      </c>
      <c r="M115" s="6">
        <f>IF(AND(ISNUMBER(Sheet4!J115),ISNUMBER(K115)),IF(I115&lt;0,ROUNDDOWN(K115/I115,0),""),"")</f>
        <v>-81</v>
      </c>
      <c r="N115" s="29">
        <f>IF(ISNUMBER(Sheet4!H115),Sheet4!H115/1000,"")</f>
        <v>0.98499999999999999</v>
      </c>
    </row>
    <row r="116" spans="1:14" ht="12.75" customHeight="1" x14ac:dyDescent="0.2">
      <c r="A116" t="str">
        <f>IF(OR(Sheet4!C116="?",ISNUMBER(Sheet4!C116)),Sheet4!A116,IF(B116="Σύνολα",B115,""))</f>
        <v>TK-856</v>
      </c>
      <c r="B116" s="94" t="str">
        <f>IF(OR(Sheet4!D116="?",ISNUMBER(Sheet4!D116)),MID(Sheet4!B116,4,20),IF(Sheet4!B116="________________","Σύνολα",IF(MID(Sheet4!B115,4,20)="Ballast","Σύνολα","")))</f>
        <v>FO LS No3</v>
      </c>
      <c r="C116">
        <f>IF(LEFT(A116,3)="TK-",VLOOKUP(A116,Sheet3!A:B,2,FALSE),IF(B116="Σύνολα",SUMIF(B$1:B$200,Sheet6!K115,C$1:C$200),""))</f>
        <v>23144</v>
      </c>
      <c r="D116" t="str">
        <f>IF(LEFT(A116,3)="TK-",VLOOKUP(A116,Sheet3!A:C,3,FALSE),"")</f>
        <v>1643+ 341</v>
      </c>
      <c r="E116">
        <f>IF(ISNUMBER(Sheet4!D116),ROUND(Sheet4!D116,1),IF(B116="Σύνολα",SUMIF(B$1:B$200,Sheet6!K115,E$1:E$200),""))</f>
        <v>7821.1</v>
      </c>
      <c r="F116" s="31">
        <f>IF(ISNUMBER(Sheet4!E116),Sheet4!E116,"")</f>
        <v>63.6</v>
      </c>
      <c r="G116">
        <f>IF(ISNUMBER(Sheet4!G116),ROUND(Sheet4!G116,1),IF(B116="Σύνολα",SUMIF(B$1:B$200,Sheet6!K115,G$1:G$200),""))</f>
        <v>7584.9</v>
      </c>
      <c r="H116">
        <f>IF(ISNUMBER(Sheet4!F116),ROUND(Sheet4!F116,1),IF(B116="Σύνολα",SUMIF(B$1:B$200,Sheet6!K115,H$1:H$200),""))</f>
        <v>15330.4</v>
      </c>
      <c r="I116">
        <f>IF(ISNUMBER(Sheet4!J116),ROUND(Sheet4!J116,1),IF(B116="Σύνολα",SUMIF(B$1:B$200,Sheet6!K115,I$1:I$200),""))</f>
        <v>4529.5</v>
      </c>
      <c r="J116">
        <f>IF(LEFT(A116,3)="TK-",VLOOKUP(A116,Sheet3!A:D,4,FALSE),IF(B116="Σύνολα",SUMIF(B$1:B$200,Sheet6!K115,J$1:J$200),""))</f>
        <v>1200</v>
      </c>
      <c r="K116">
        <f>IF(B116="Σύνολα",SUMIF(B$1:B$200,Sheet6!K115,K$1:K$200),IF(ISNUMBER(E116),IF(E116&gt;J116,ROUND((E116-J116),1),""),""))</f>
        <v>6621.1</v>
      </c>
      <c r="L116" s="6">
        <f>IF(ISNUMBER(Sheet4!J116),IF(AND(ISNUMBER(H116),H116&gt;0,I116&gt;0),ROUNDDOWN(H116/I116,0),""),"")</f>
        <v>3</v>
      </c>
      <c r="M116" s="6" t="str">
        <f>IF(AND(ISNUMBER(Sheet4!J116),ISNUMBER(K116)),IF(I116&lt;0,ROUNDDOWN(K116/I116,0),""),"")</f>
        <v/>
      </c>
      <c r="N116" s="29">
        <f>IF(ISNUMBER(Sheet4!H116),Sheet4!H116/1000,"")</f>
        <v>0.98580000000000001</v>
      </c>
    </row>
    <row r="117" spans="1:14" ht="12.75" customHeight="1" x14ac:dyDescent="0.2">
      <c r="A117" t="str">
        <f>IF(OR(Sheet4!C117="?",ISNUMBER(Sheet4!C117)),Sheet4!A117,IF(B117="Σύνολα",B116,""))</f>
        <v>FO LS No3</v>
      </c>
      <c r="B117" s="94" t="str">
        <f>IF(OR(Sheet4!D117="?",ISNUMBER(Sheet4!D117)),MID(Sheet4!B117,4,20),IF(Sheet4!B117="________________","Σύνολα",IF(MID(Sheet4!B116,4,20)="Ballast","Σύνολα","")))</f>
        <v>Σύνολα</v>
      </c>
      <c r="C117">
        <f>IF(LEFT(A117,3)="TK-",VLOOKUP(A117,Sheet3!A:B,2,FALSE),IF(B117="Σύνολα",SUMIF(B$1:B$200,Sheet6!K116,C$1:C$200),""))</f>
        <v>42590</v>
      </c>
      <c r="D117" t="str">
        <f>IF(LEFT(A117,3)="TK-",VLOOKUP(A117,Sheet3!A:C,3,FALSE),"")</f>
        <v/>
      </c>
      <c r="E117">
        <f>IF(ISNUMBER(Sheet4!D117),ROUND(Sheet4!D117,1),IF(B117="Σύνολα",SUMIF(B$1:B$200,Sheet6!K116,E$1:E$200),""))</f>
        <v>24857.5</v>
      </c>
      <c r="F117" s="31" t="str">
        <f>IF(ISNUMBER(Sheet4!E117),Sheet4!E117,"")</f>
        <v/>
      </c>
      <c r="G117">
        <f>IF(ISNUMBER(Sheet4!G117),ROUND(Sheet4!G117,1),IF(B117="Σύνολα",SUMIF(B$1:B$200,Sheet6!K116,G$1:G$200),""))</f>
        <v>24131.699999999997</v>
      </c>
      <c r="H117">
        <f>IF(ISNUMBER(Sheet4!F117),ROUND(Sheet4!F117,1),IF(B117="Σύνολα",SUMIF(B$1:B$200,Sheet6!K116,H$1:H$200),""))</f>
        <v>17757.5</v>
      </c>
      <c r="I117">
        <f>IF(ISNUMBER(Sheet4!J117),ROUND(Sheet4!J117,1),IF(B117="Σύνολα",SUMIF(B$1:B$200,Sheet6!K116,I$1:I$200),""))</f>
        <v>4331.7</v>
      </c>
      <c r="J117">
        <f>IF(LEFT(A117,3)="TK-",VLOOKUP(A117,Sheet3!A:D,4,FALSE),IF(B117="Σύνολα",SUMIF(B$1:B$200,Sheet6!K116,J$1:J$200),""))</f>
        <v>2150</v>
      </c>
      <c r="K117">
        <f>IF(B117="Σύνολα",SUMIF(B$1:B$200,Sheet6!K116,K$1:K$200),IF(ISNUMBER(E117),IF(E117&gt;J117,ROUND((E117-J117),1),""),""))</f>
        <v>22707.5</v>
      </c>
      <c r="L117" s="6" t="str">
        <f>IF(ISNUMBER(Sheet4!J117),IF(AND(ISNUMBER(H117),H117&gt;0,I117&gt;0),ROUNDDOWN(H117/I117,0),""),"")</f>
        <v/>
      </c>
      <c r="M117" s="6" t="str">
        <f>IF(AND(ISNUMBER(Sheet4!J117),ISNUMBER(K117)),IF(I117&lt;0,ROUNDDOWN(K117/I117,0),""),"")</f>
        <v/>
      </c>
      <c r="N117" s="29" t="str">
        <f>IF(ISNUMBER(Sheet4!H117),Sheet4!H117/1000,"")</f>
        <v/>
      </c>
    </row>
    <row r="118" spans="1:14" ht="12.75" customHeight="1" x14ac:dyDescent="0.2">
      <c r="A118" t="str">
        <f>IF(OR(Sheet4!C118="?",ISNUMBER(Sheet4!C118)),Sheet4!A118,IF(B118="Σύνολα",B117,""))</f>
        <v/>
      </c>
      <c r="B118" s="94" t="str">
        <f>IF(OR(Sheet4!D118="?",ISNUMBER(Sheet4!D118)),MID(Sheet4!B118,4,20),IF(Sheet4!B118="________________","Σύνολα",IF(MID(Sheet4!B117,4,20)="Ballast","Σύνολα","")))</f>
        <v/>
      </c>
      <c r="C118" t="str">
        <f>IF(LEFT(A118,3)="TK-",VLOOKUP(A118,Sheet3!A:B,2,FALSE),IF(B118="Σύνολα",SUMIF(B$1:B$200,Sheet6!K117,C$1:C$200),""))</f>
        <v/>
      </c>
      <c r="D118" t="str">
        <f>IF(LEFT(A118,3)="TK-",VLOOKUP(A118,Sheet3!A:C,3,FALSE),"")</f>
        <v/>
      </c>
      <c r="E118" t="str">
        <f>IF(ISNUMBER(Sheet4!D118),ROUND(Sheet4!D118,1),IF(B118="Σύνολα",SUMIF(B$1:B$200,Sheet6!K117,E$1:E$200),""))</f>
        <v/>
      </c>
      <c r="F118" s="31" t="str">
        <f>IF(ISNUMBER(Sheet4!E118),Sheet4!E118,"")</f>
        <v/>
      </c>
      <c r="G118" t="str">
        <f>IF(ISNUMBER(Sheet4!G118),ROUND(Sheet4!G118,1),IF(B118="Σύνολα",SUMIF(B$1:B$200,Sheet6!K117,G$1:G$200),""))</f>
        <v/>
      </c>
      <c r="H118" t="str">
        <f>IF(ISNUMBER(Sheet4!F118),ROUND(Sheet4!F118,1),IF(B118="Σύνολα",SUMIF(B$1:B$200,Sheet6!K117,H$1:H$200),""))</f>
        <v/>
      </c>
      <c r="I118" t="str">
        <f>IF(ISNUMBER(Sheet4!J118),ROUND(Sheet4!J118,1),IF(B118="Σύνολα",SUMIF(B$1:B$200,Sheet6!K117,I$1:I$200),""))</f>
        <v/>
      </c>
      <c r="J118" t="str">
        <f>IF(LEFT(A118,3)="TK-",VLOOKUP(A118,Sheet3!A:D,4,FALSE),IF(B118="Σύνολα",SUMIF(B$1:B$200,Sheet6!K117,J$1:J$200),""))</f>
        <v/>
      </c>
      <c r="K118" t="str">
        <f>IF(B118="Σύνολα",SUMIF(B$1:B$200,Sheet6!K117,K$1:K$200),IF(ISNUMBER(E118),IF(E118&gt;J118,ROUND((E118-J118),1),""),""))</f>
        <v/>
      </c>
      <c r="L118" s="6" t="str">
        <f>IF(ISNUMBER(Sheet4!J118),IF(AND(ISNUMBER(H118),H118&gt;0,I118&gt;0),ROUNDDOWN(H118/I118,0),""),"")</f>
        <v/>
      </c>
      <c r="M118" s="6" t="str">
        <f>IF(AND(ISNUMBER(Sheet4!J118),ISNUMBER(K118)),IF(I118&lt;0,ROUNDDOWN(K118/I118,0),""),"")</f>
        <v/>
      </c>
      <c r="N118" s="29" t="str">
        <f>IF(ISNUMBER(Sheet4!H118),Sheet4!H118/1000,"")</f>
        <v/>
      </c>
    </row>
    <row r="119" spans="1:14" ht="12.75" customHeight="1" x14ac:dyDescent="0.2">
      <c r="A119" t="str">
        <f>IF(OR(Sheet4!C119="?",ISNUMBER(Sheet4!C119)),Sheet4!A119,IF(B119="Σύνολα",B118,""))</f>
        <v/>
      </c>
      <c r="B119" s="94" t="str">
        <f>IF(OR(Sheet4!D119="?",ISNUMBER(Sheet4!D119)),MID(Sheet4!B119,4,20),IF(Sheet4!B119="________________","Σύνολα",IF(MID(Sheet4!B118,4,20)="Ballast","Σύνολα","")))</f>
        <v/>
      </c>
      <c r="C119" t="str">
        <f>IF(LEFT(A119,3)="TK-",VLOOKUP(A119,Sheet3!A:B,2,FALSE),IF(B119="Σύνολα",SUMIF(B$1:B$200,Sheet6!K118,C$1:C$200),""))</f>
        <v/>
      </c>
      <c r="D119" t="str">
        <f>IF(LEFT(A119,3)="TK-",VLOOKUP(A119,Sheet3!A:C,3,FALSE),"")</f>
        <v/>
      </c>
      <c r="E119" t="str">
        <f>IF(ISNUMBER(Sheet4!D119),ROUND(Sheet4!D119,1),IF(B119="Σύνολα",SUMIF(B$1:B$200,Sheet6!K118,E$1:E$200),""))</f>
        <v/>
      </c>
      <c r="F119" s="31" t="str">
        <f>IF(ISNUMBER(Sheet4!E119),Sheet4!E119,"")</f>
        <v/>
      </c>
      <c r="G119" t="str">
        <f>IF(ISNUMBER(Sheet4!G119),ROUND(Sheet4!G119,1),IF(B119="Σύνολα",SUMIF(B$1:B$200,Sheet6!K118,G$1:G$200),""))</f>
        <v/>
      </c>
      <c r="H119" t="str">
        <f>IF(ISNUMBER(Sheet4!F119),ROUND(Sheet4!F119,1),IF(B119="Σύνολα",SUMIF(B$1:B$200,Sheet6!K118,H$1:H$200),""))</f>
        <v/>
      </c>
      <c r="I119" t="str">
        <f>IF(ISNUMBER(Sheet4!J119),ROUND(Sheet4!J119,1),IF(B119="Σύνολα",SUMIF(B$1:B$200,Sheet6!K118,I$1:I$200),""))</f>
        <v/>
      </c>
      <c r="J119" t="str">
        <f>IF(LEFT(A119,3)="TK-",VLOOKUP(A119,Sheet3!A:D,4,FALSE),IF(B119="Σύνολα",SUMIF(B$1:B$200,Sheet6!K118,J$1:J$200),""))</f>
        <v/>
      </c>
      <c r="K119" t="str">
        <f>IF(B119="Σύνολα",SUMIF(B$1:B$200,Sheet6!K118,K$1:K$200),IF(ISNUMBER(E119),IF(E119&gt;J119,ROUND((E119-J119),1),""),""))</f>
        <v/>
      </c>
      <c r="L119" s="6" t="str">
        <f>IF(ISNUMBER(Sheet4!J119),IF(AND(ISNUMBER(H119),H119&gt;0,I119&gt;0),ROUNDDOWN(H119/I119,0),""),"")</f>
        <v/>
      </c>
      <c r="M119" s="6" t="str">
        <f>IF(AND(ISNUMBER(Sheet4!J119),ISNUMBER(K119)),IF(I119&lt;0,ROUNDDOWN(K119/I119,0),""),"")</f>
        <v/>
      </c>
      <c r="N119" s="29" t="str">
        <f>IF(ISNUMBER(Sheet4!H119),Sheet4!H119/1000,"")</f>
        <v/>
      </c>
    </row>
    <row r="120" spans="1:14" ht="12.75" customHeight="1" x14ac:dyDescent="0.2">
      <c r="A120" t="str">
        <f>IF(OR(Sheet4!C120="?",ISNUMBER(Sheet4!C120)),Sheet4!A120,IF(B120="Σύνολα",B119,""))</f>
        <v>TK-844</v>
      </c>
      <c r="B120" s="94" t="str">
        <f>IF(OR(Sheet4!D120="?",ISNUMBER(Sheet4!D120)),MID(Sheet4!B120,4,20),IF(Sheet4!B120="________________","Σύνολα",IF(MID(Sheet4!B119,4,20)="Ballast","Σύνολα","")))</f>
        <v>VGO</v>
      </c>
      <c r="C120">
        <f>IF(LEFT(A120,3)="TK-",VLOOKUP(A120,Sheet3!A:B,2,FALSE),IF(B120="Σύνολα",SUMIF(B$1:B$200,Sheet6!K119,C$1:C$200),""))</f>
        <v>23384</v>
      </c>
      <c r="D120" t="str">
        <f>IF(LEFT(A120,3)="TK-",VLOOKUP(A120,Sheet3!A:C,3,FALSE),"")</f>
        <v>1643+ 361</v>
      </c>
      <c r="E120">
        <f>IF(ISNUMBER(Sheet4!D120),ROUND(Sheet4!D120,1),IF(B120="Σύνολα",SUMIF(B$1:B$200,Sheet6!K119,E$1:E$200),""))</f>
        <v>8996.9</v>
      </c>
      <c r="F120" s="31">
        <f>IF(ISNUMBER(Sheet4!E120),Sheet4!E120,"")</f>
        <v>55.9</v>
      </c>
      <c r="G120">
        <f>IF(ISNUMBER(Sheet4!G120),ROUND(Sheet4!G120,1),IF(B120="Σύνολα",SUMIF(B$1:B$200,Sheet6!K119,G$1:G$200),""))</f>
        <v>8719.6</v>
      </c>
      <c r="H120">
        <f>IF(ISNUMBER(Sheet4!F120),ROUND(Sheet4!F120,1),IF(B120="Σύνολα",SUMIF(B$1:B$200,Sheet6!K119,H$1:H$200),""))</f>
        <v>14394.4</v>
      </c>
      <c r="I120">
        <f>IF(ISNUMBER(Sheet4!J120),ROUND(Sheet4!J120,1),IF(B120="Σύνολα",SUMIF(B$1:B$200,Sheet6!K119,I$1:I$200),""))</f>
        <v>2.5</v>
      </c>
      <c r="J120">
        <f>IF(LEFT(A120,3)="TK-",VLOOKUP(A120,Sheet3!A:D,4,FALSE),IF(B120="Σύνολα",SUMIF(B$1:B$200,Sheet6!K119,J$1:J$200),""))</f>
        <v>1220</v>
      </c>
      <c r="K120">
        <f>IF(B120="Σύνολα",SUMIF(B$1:B$200,Sheet6!K119,K$1:K$200),IF(ISNUMBER(E120),IF(E120&gt;J120,ROUND((E120-J120),1),""),""))</f>
        <v>7776.9</v>
      </c>
      <c r="L120" s="6">
        <f>IF(ISNUMBER(Sheet4!J120),IF(AND(ISNUMBER(H120),H120&gt;0,I120&gt;0),ROUNDDOWN(H120/I120,0),""),"")</f>
        <v>5757</v>
      </c>
      <c r="M120" s="6" t="str">
        <f>IF(AND(ISNUMBER(Sheet4!J120),ISNUMBER(K120)),IF(I120&lt;0,ROUNDDOWN(K120/I120,0),""),"")</f>
        <v/>
      </c>
      <c r="N120" s="29">
        <f>IF(ISNUMBER(Sheet4!H120),Sheet4!H120/1000,"")</f>
        <v>0.92170000000000007</v>
      </c>
    </row>
    <row r="121" spans="1:14" ht="12.75" customHeight="1" x14ac:dyDescent="0.2">
      <c r="A121" t="str">
        <f>IF(OR(Sheet4!C121="?",ISNUMBER(Sheet4!C121)),Sheet4!A121,IF(B121="Σύνολα",B120,""))</f>
        <v>VGO</v>
      </c>
      <c r="B121" s="94" t="str">
        <f>IF(OR(Sheet4!D121="?",ISNUMBER(Sheet4!D121)),MID(Sheet4!B121,4,20),IF(Sheet4!B121="________________","Σύνολα",IF(MID(Sheet4!B120,4,20)="Ballast","Σύνολα","")))</f>
        <v>Σύνολα</v>
      </c>
      <c r="C121">
        <f>IF(LEFT(A121,3)="TK-",VLOOKUP(A121,Sheet3!A:B,2,FALSE),IF(B121="Σύνολα",SUMIF(B$1:B$200,Sheet6!K120,C$1:C$200),""))</f>
        <v>23384</v>
      </c>
      <c r="D121" t="str">
        <f>IF(LEFT(A121,3)="TK-",VLOOKUP(A121,Sheet3!A:C,3,FALSE),"")</f>
        <v/>
      </c>
      <c r="E121">
        <f>IF(ISNUMBER(Sheet4!D121),ROUND(Sheet4!D121,1),IF(B121="Σύνολα",SUMIF(B$1:B$200,Sheet6!K120,E$1:E$200),""))</f>
        <v>8996.9</v>
      </c>
      <c r="F121" s="31" t="str">
        <f>IF(ISNUMBER(Sheet4!E121),Sheet4!E121,"")</f>
        <v/>
      </c>
      <c r="G121">
        <f>IF(ISNUMBER(Sheet4!G121),ROUND(Sheet4!G121,1),IF(B121="Σύνολα",SUMIF(B$1:B$200,Sheet6!K120,G$1:G$200),""))</f>
        <v>8719.6</v>
      </c>
      <c r="H121">
        <f>IF(ISNUMBER(Sheet4!F121),ROUND(Sheet4!F121,1),IF(B121="Σύνολα",SUMIF(B$1:B$200,Sheet6!K120,H$1:H$200),""))</f>
        <v>14394.4</v>
      </c>
      <c r="I121">
        <f>IF(ISNUMBER(Sheet4!J121),ROUND(Sheet4!J121,1),IF(B121="Σύνολα",SUMIF(B$1:B$200,Sheet6!K120,I$1:I$200),""))</f>
        <v>2.5</v>
      </c>
      <c r="J121">
        <f>IF(LEFT(A121,3)="TK-",VLOOKUP(A121,Sheet3!A:D,4,FALSE),IF(B121="Σύνολα",SUMIF(B$1:B$200,Sheet6!K120,J$1:J$200),""))</f>
        <v>1220</v>
      </c>
      <c r="K121">
        <f>IF(B121="Σύνολα",SUMIF(B$1:B$200,Sheet6!K120,K$1:K$200),IF(ISNUMBER(E121),IF(E121&gt;J121,ROUND((E121-J121),1),""),""))</f>
        <v>7776.9</v>
      </c>
      <c r="L121" s="6" t="str">
        <f>IF(ISNUMBER(Sheet4!J121),IF(AND(ISNUMBER(H121),H121&gt;0,I121&gt;0),ROUNDDOWN(H121/I121,0),""),"")</f>
        <v/>
      </c>
      <c r="M121" s="6" t="str">
        <f>IF(AND(ISNUMBER(Sheet4!J121),ISNUMBER(K121)),IF(I121&lt;0,ROUNDDOWN(K121/I121,0),""),"")</f>
        <v/>
      </c>
      <c r="N121" s="29" t="str">
        <f>IF(ISNUMBER(Sheet4!H121),Sheet4!H121/1000,"")</f>
        <v/>
      </c>
    </row>
    <row r="122" spans="1:14" ht="12.75" customHeight="1" x14ac:dyDescent="0.2">
      <c r="A122" t="str">
        <f>IF(OR(Sheet4!C122="?",ISNUMBER(Sheet4!C122)),Sheet4!A122,IF(B122="Σύνολα",B121,""))</f>
        <v/>
      </c>
      <c r="B122" s="94" t="str">
        <f>IF(OR(Sheet4!D122="?",ISNUMBER(Sheet4!D122)),MID(Sheet4!B122,4,20),IF(Sheet4!B122="________________","Σύνολα",IF(MID(Sheet4!B121,4,20)="Ballast","Σύνολα","")))</f>
        <v/>
      </c>
      <c r="C122" t="str">
        <f>IF(LEFT(A122,3)="TK-",VLOOKUP(A122,Sheet3!A:B,2,FALSE),IF(B122="Σύνολα",SUMIF(B$1:B$200,Sheet6!K121,C$1:C$200),""))</f>
        <v/>
      </c>
      <c r="D122" t="str">
        <f>IF(LEFT(A122,3)="TK-",VLOOKUP(A122,Sheet3!A:C,3,FALSE),"")</f>
        <v/>
      </c>
      <c r="E122" t="str">
        <f>IF(ISNUMBER(Sheet4!D122),ROUND(Sheet4!D122,1),IF(B122="Σύνολα",SUMIF(B$1:B$200,Sheet6!K121,E$1:E$200),""))</f>
        <v/>
      </c>
      <c r="F122" s="31" t="str">
        <f>IF(ISNUMBER(Sheet4!E122),Sheet4!E122,"")</f>
        <v/>
      </c>
      <c r="G122" t="str">
        <f>IF(ISNUMBER(Sheet4!G122),ROUND(Sheet4!G122,1),IF(B122="Σύνολα",SUMIF(B$1:B$200,Sheet6!K121,G$1:G$200),""))</f>
        <v/>
      </c>
      <c r="H122" t="str">
        <f>IF(ISNUMBER(Sheet4!F122),ROUND(Sheet4!F122,1),IF(B122="Σύνολα",SUMIF(B$1:B$200,Sheet6!K121,H$1:H$200),""))</f>
        <v/>
      </c>
      <c r="I122" t="str">
        <f>IF(ISNUMBER(Sheet4!J122),ROUND(Sheet4!J122,1),IF(B122="Σύνολα",SUMIF(B$1:B$200,Sheet6!K121,I$1:I$200),""))</f>
        <v/>
      </c>
      <c r="J122" t="str">
        <f>IF(LEFT(A122,3)="TK-",VLOOKUP(A122,Sheet3!A:D,4,FALSE),IF(B122="Σύνολα",SUMIF(B$1:B$200,Sheet6!K121,J$1:J$200),""))</f>
        <v/>
      </c>
      <c r="K122" t="str">
        <f>IF(B122="Σύνολα",SUMIF(B$1:B$200,Sheet6!K121,K$1:K$200),IF(ISNUMBER(E122),IF(E122&gt;J122,ROUND((E122-J122),1),""),""))</f>
        <v/>
      </c>
      <c r="L122" s="6" t="str">
        <f>IF(ISNUMBER(Sheet4!J122),IF(AND(ISNUMBER(H122),H122&gt;0,I122&gt;0),ROUNDDOWN(H122/I122,0),""),"")</f>
        <v/>
      </c>
      <c r="M122" s="6" t="str">
        <f>IF(AND(ISNUMBER(Sheet4!J122),ISNUMBER(K122)),IF(I122&lt;0,ROUNDDOWN(K122/I122,0),""),"")</f>
        <v/>
      </c>
      <c r="N122" s="29" t="str">
        <f>IF(ISNUMBER(Sheet4!H122),Sheet4!H122/1000,"")</f>
        <v/>
      </c>
    </row>
    <row r="123" spans="1:14" ht="12.75" customHeight="1" x14ac:dyDescent="0.2">
      <c r="A123" t="str">
        <f>IF(OR(Sheet4!C123="?",ISNUMBER(Sheet4!C123)),Sheet4!A123,IF(B123="Σύνολα",B122,""))</f>
        <v/>
      </c>
      <c r="B123" s="94" t="str">
        <f>IF(OR(Sheet4!D123="?",ISNUMBER(Sheet4!D123)),MID(Sheet4!B123,4,20),IF(Sheet4!B123="________________","Σύνολα",IF(MID(Sheet4!B122,4,20)="Ballast","Σύνολα","")))</f>
        <v/>
      </c>
      <c r="C123" t="str">
        <f>IF(LEFT(A123,3)="TK-",VLOOKUP(A123,Sheet3!A:B,2,FALSE),IF(B123="Σύνολα",SUMIF(B$1:B$200,Sheet6!K122,C$1:C$200),""))</f>
        <v/>
      </c>
      <c r="D123" t="str">
        <f>IF(LEFT(A123,3)="TK-",VLOOKUP(A123,Sheet3!A:C,3,FALSE),"")</f>
        <v/>
      </c>
      <c r="E123" t="str">
        <f>IF(ISNUMBER(Sheet4!D123),ROUND(Sheet4!D123,1),IF(B123="Σύνολα",SUMIF(B$1:B$200,Sheet6!K122,E$1:E$200),""))</f>
        <v/>
      </c>
      <c r="F123" s="31" t="str">
        <f>IF(ISNUMBER(Sheet4!E123),Sheet4!E123,"")</f>
        <v/>
      </c>
      <c r="G123" t="str">
        <f>IF(ISNUMBER(Sheet4!G123),ROUND(Sheet4!G123,1),IF(B123="Σύνολα",SUMIF(B$1:B$200,Sheet6!K122,G$1:G$200),""))</f>
        <v/>
      </c>
      <c r="H123" t="str">
        <f>IF(ISNUMBER(Sheet4!F123),ROUND(Sheet4!F123,1),IF(B123="Σύνολα",SUMIF(B$1:B$200,Sheet6!K122,H$1:H$200),""))</f>
        <v/>
      </c>
      <c r="I123" t="str">
        <f>IF(ISNUMBER(Sheet4!J123),ROUND(Sheet4!J123,1),IF(B123="Σύνολα",SUMIF(B$1:B$200,Sheet6!K122,I$1:I$200),""))</f>
        <v/>
      </c>
      <c r="J123" t="str">
        <f>IF(LEFT(A123,3)="TK-",VLOOKUP(A123,Sheet3!A:D,4,FALSE),IF(B123="Σύνολα",SUMIF(B$1:B$200,Sheet6!K122,J$1:J$200),""))</f>
        <v/>
      </c>
      <c r="K123" t="str">
        <f>IF(B123="Σύνολα",SUMIF(B$1:B$200,Sheet6!K122,K$1:K$200),IF(ISNUMBER(E123),IF(E123&gt;J123,ROUND((E123-J123),1),""),""))</f>
        <v/>
      </c>
      <c r="L123" s="6" t="str">
        <f>IF(ISNUMBER(Sheet4!J123),IF(AND(ISNUMBER(H123),H123&gt;0,I123&gt;0),ROUNDDOWN(H123/I123,0),""),"")</f>
        <v/>
      </c>
      <c r="M123" s="6" t="str">
        <f>IF(AND(ISNUMBER(Sheet4!J123),ISNUMBER(K123)),IF(I123&lt;0,ROUNDDOWN(K123/I123,0),""),"")</f>
        <v/>
      </c>
      <c r="N123" s="29" t="str">
        <f>IF(ISNUMBER(Sheet4!H123),Sheet4!H123/1000,"")</f>
        <v/>
      </c>
    </row>
    <row r="124" spans="1:14" ht="12.75" customHeight="1" x14ac:dyDescent="0.2">
      <c r="A124" t="str">
        <f>IF(OR(Sheet4!C124="?",ISNUMBER(Sheet4!C124)),Sheet4!A124,IF(B124="Σύνολα",B123,""))</f>
        <v>TK-830</v>
      </c>
      <c r="B124" s="94" t="str">
        <f>IF(OR(Sheet4!D124="?",ISNUMBER(Sheet4!D124)),MID(Sheet4!B124,4,20),IF(Sheet4!B124="________________","Σύνολα",IF(MID(Sheet4!B123,4,20)="Ballast","Σύνολα","")))</f>
        <v>AS 50/70</v>
      </c>
      <c r="C124">
        <f>IF(LEFT(A124,3)="TK-",VLOOKUP(A124,Sheet3!A:B,2,FALSE),IF(B124="Σύνολα",SUMIF(B$1:B$200,Sheet6!K123,C$1:C$200),""))</f>
        <v>14991</v>
      </c>
      <c r="D124" t="str">
        <f>IF(LEFT(A124,3)="TK-",VLOOKUP(A124,Sheet3!A:C,3,FALSE),"")</f>
        <v>1289+ 130</v>
      </c>
      <c r="E124">
        <f>IF(ISNUMBER(Sheet4!D124),ROUND(Sheet4!D124,1),IF(B124="Σύνολα",SUMIF(B$1:B$200,Sheet6!K123,E$1:E$200),""))</f>
        <v>1022</v>
      </c>
      <c r="F124" s="31">
        <f>IF(ISNUMBER(Sheet4!E124),Sheet4!E124,"")</f>
        <v>118.7</v>
      </c>
      <c r="G124">
        <f>IF(ISNUMBER(Sheet4!G124),ROUND(Sheet4!G124,1),IF(B124="Σύνολα",SUMIF(B$1:B$200,Sheet6!K123,G$1:G$200),""))</f>
        <v>959.2</v>
      </c>
      <c r="H124">
        <f>IF(ISNUMBER(Sheet4!F124),ROUND(Sheet4!F124,1),IF(B124="Σύνολα",SUMIF(B$1:B$200,Sheet6!K123,H$1:H$200),""))</f>
        <v>13971</v>
      </c>
      <c r="I124">
        <f>IF(ISNUMBER(Sheet4!J124),ROUND(Sheet4!J124,1),IF(B124="Σύνολα",SUMIF(B$1:B$200,Sheet6!K123,I$1:I$200),""))</f>
        <v>2.9</v>
      </c>
      <c r="J124">
        <f>IF(LEFT(A124,3)="TK-",VLOOKUP(A124,Sheet3!A:D,4,FALSE),IF(B124="Σύνολα",SUMIF(B$1:B$200,Sheet6!K123,J$1:J$200),""))</f>
        <v>970</v>
      </c>
      <c r="K124">
        <f>IF(B124="Σύνολα",SUMIF(B$1:B$200,Sheet6!K123,K$1:K$200),IF(ISNUMBER(E124),IF(E124&gt;J124,ROUND((E124-J124),1),""),""))</f>
        <v>52</v>
      </c>
      <c r="L124" s="6">
        <f>IF(ISNUMBER(Sheet4!J124),IF(AND(ISNUMBER(H124),H124&gt;0,I124&gt;0),ROUNDDOWN(H124/I124,0),""),"")</f>
        <v>4817</v>
      </c>
      <c r="M124" s="6" t="str">
        <f>IF(AND(ISNUMBER(Sheet4!J124),ISNUMBER(K124)),IF(I124&lt;0,ROUNDDOWN(K124/I124,0),""),"")</f>
        <v/>
      </c>
      <c r="N124" s="29">
        <f>IF(ISNUMBER(Sheet4!H124),Sheet4!H124/1000,"")</f>
        <v>1.034</v>
      </c>
    </row>
    <row r="125" spans="1:14" ht="12.75" customHeight="1" x14ac:dyDescent="0.2">
      <c r="A125" t="str">
        <f>IF(OR(Sheet4!C125="?",ISNUMBER(Sheet4!C125)),Sheet4!A125,IF(B125="Σύνολα",B124,""))</f>
        <v>TK-832</v>
      </c>
      <c r="B125" s="94" t="str">
        <f>IF(OR(Sheet4!D125="?",ISNUMBER(Sheet4!D125)),MID(Sheet4!B125,4,20),IF(Sheet4!B125="________________","Σύνολα",IF(MID(Sheet4!B124,4,20)="Ballast","Σύνολα","")))</f>
        <v>AS 50/70</v>
      </c>
      <c r="C125">
        <f>IF(LEFT(A125,3)="TK-",VLOOKUP(A125,Sheet3!A:B,2,FALSE),IF(B125="Σύνολα",SUMIF(B$1:B$200,Sheet6!K124,C$1:C$200),""))</f>
        <v>1499</v>
      </c>
      <c r="D125" t="str">
        <f>IF(LEFT(A125,3)="TK-",VLOOKUP(A125,Sheet3!A:C,3,FALSE),"")</f>
        <v>110 + 11</v>
      </c>
      <c r="E125">
        <f>IF(ISNUMBER(Sheet4!D125),ROUND(Sheet4!D125,1),IF(B125="Σύνολα",SUMIF(B$1:B$200,Sheet6!K124,E$1:E$200),""))</f>
        <v>262.8</v>
      </c>
      <c r="F125" s="31">
        <f>IF(ISNUMBER(Sheet4!E125),Sheet4!E125,"")</f>
        <v>132.30000000000001</v>
      </c>
      <c r="G125">
        <f>IF(ISNUMBER(Sheet4!G125),ROUND(Sheet4!G125,1),IF(B125="Σύνολα",SUMIF(B$1:B$200,Sheet6!K124,G$1:G$200),""))</f>
        <v>240</v>
      </c>
      <c r="H125">
        <f>IF(ISNUMBER(Sheet4!F125),ROUND(Sheet4!F125,1),IF(B125="Σύνολα",SUMIF(B$1:B$200,Sheet6!K124,H$1:H$200),""))</f>
        <v>1236.8</v>
      </c>
      <c r="I125">
        <f>IF(ISNUMBER(Sheet4!J125),ROUND(Sheet4!J125,1),IF(B125="Σύνολα",SUMIF(B$1:B$200,Sheet6!K124,I$1:I$200),""))</f>
        <v>0</v>
      </c>
      <c r="J125">
        <f>IF(LEFT(A125,3)="TK-",VLOOKUP(A125,Sheet3!A:D,4,FALSE),IF(B125="Σύνολα",SUMIF(B$1:B$200,Sheet6!K124,J$1:J$200),""))</f>
        <v>150</v>
      </c>
      <c r="K125">
        <f>IF(B125="Σύνολα",SUMIF(B$1:B$200,Sheet6!K124,K$1:K$200),IF(ISNUMBER(E125),IF(E125&gt;J125,ROUND((E125-J125),1),""),""))</f>
        <v>112.8</v>
      </c>
      <c r="L125" s="6" t="str">
        <f>IF(ISNUMBER(Sheet4!J125),IF(AND(ISNUMBER(H125),H125&gt;0,I125&gt;0),ROUNDDOWN(H125/I125,0),""),"")</f>
        <v/>
      </c>
      <c r="M125" s="6" t="str">
        <f>IF(AND(ISNUMBER(Sheet4!J125),ISNUMBER(K125)),IF(I125&lt;0,ROUNDDOWN(K125/I125,0),""),"")</f>
        <v/>
      </c>
      <c r="N125" s="29">
        <f>IF(ISNUMBER(Sheet4!H125),Sheet4!H125/1000,"")</f>
        <v>1.0349999999999999</v>
      </c>
    </row>
    <row r="126" spans="1:14" ht="12.75" customHeight="1" x14ac:dyDescent="0.2">
      <c r="A126" t="str">
        <f>IF(OR(Sheet4!C126="?",ISNUMBER(Sheet4!C126)),Sheet4!A126,IF(B126="Σύνολα",B125,""))</f>
        <v>TK-837</v>
      </c>
      <c r="B126" s="94" t="str">
        <f>IF(OR(Sheet4!D126="?",ISNUMBER(Sheet4!D126)),MID(Sheet4!B126,4,20),IF(Sheet4!B126="________________","Σύνολα",IF(MID(Sheet4!B125,4,20)="Ballast","Σύνολα","")))</f>
        <v>AS 50/70</v>
      </c>
      <c r="C126">
        <f>IF(LEFT(A126,3)="TK-",VLOOKUP(A126,Sheet3!A:B,2,FALSE),IF(B126="Σύνολα",SUMIF(B$1:B$200,Sheet6!K125,C$1:C$200),""))</f>
        <v>4748</v>
      </c>
      <c r="D126" t="str">
        <f>IF(LEFT(A126,3)="TK-",VLOOKUP(A126,Sheet3!A:C,3,FALSE),"")</f>
        <v>434 + 22</v>
      </c>
      <c r="E126">
        <f>IF(ISNUMBER(Sheet4!D126),ROUND(Sheet4!D126,1),IF(B126="Σύνολα",SUMIF(B$1:B$200,Sheet6!K125,E$1:E$200),""))</f>
        <v>368</v>
      </c>
      <c r="F126" s="31">
        <f>IF(ISNUMBER(Sheet4!E126),Sheet4!E126,"")</f>
        <v>109.5</v>
      </c>
      <c r="G126">
        <f>IF(ISNUMBER(Sheet4!G126),ROUND(Sheet4!G126,1),IF(B126="Σύνολα",SUMIF(B$1:B$200,Sheet6!K125,G$1:G$200),""))</f>
        <v>347.3</v>
      </c>
      <c r="H126">
        <f>IF(ISNUMBER(Sheet4!F126),ROUND(Sheet4!F126,1),IF(B126="Σύνολα",SUMIF(B$1:B$200,Sheet6!K125,H$1:H$200),""))</f>
        <v>4380.7</v>
      </c>
      <c r="I126">
        <f>IF(ISNUMBER(Sheet4!J126),ROUND(Sheet4!J126,1),IF(B126="Σύνολα",SUMIF(B$1:B$200,Sheet6!K125,I$1:I$200),""))</f>
        <v>1.7</v>
      </c>
      <c r="J126">
        <f>IF(LEFT(A126,3)="TK-",VLOOKUP(A126,Sheet3!A:D,4,FALSE),IF(B126="Σύνολα",SUMIF(B$1:B$200,Sheet6!K125,J$1:J$200),""))</f>
        <v>280</v>
      </c>
      <c r="K126">
        <f>IF(B126="Σύνολα",SUMIF(B$1:B$200,Sheet6!K125,K$1:K$200),IF(ISNUMBER(E126),IF(E126&gt;J126,ROUND((E126-J126),1),""),""))</f>
        <v>88</v>
      </c>
      <c r="L126" s="6">
        <f>IF(ISNUMBER(Sheet4!J126),IF(AND(ISNUMBER(H126),H126&gt;0,I126&gt;0),ROUNDDOWN(H126/I126,0),""),"")</f>
        <v>2576</v>
      </c>
      <c r="M126" s="6" t="str">
        <f>IF(AND(ISNUMBER(Sheet4!J126),ISNUMBER(K126)),IF(I126&lt;0,ROUNDDOWN(K126/I126,0),""),"")</f>
        <v/>
      </c>
      <c r="N126" s="29">
        <f>IF(ISNUMBER(Sheet4!H126),Sheet4!H126/1000,"")</f>
        <v>1.034</v>
      </c>
    </row>
    <row r="127" spans="1:14" ht="12.75" customHeight="1" x14ac:dyDescent="0.2">
      <c r="A127" t="str">
        <f>IF(OR(Sheet4!C127="?",ISNUMBER(Sheet4!C127)),Sheet4!A127,IF(B127="Σύνολα",B126,""))</f>
        <v>AS 50/70</v>
      </c>
      <c r="B127" s="94" t="str">
        <f>IF(OR(Sheet4!D127="?",ISNUMBER(Sheet4!D127)),MID(Sheet4!B127,4,20),IF(Sheet4!B127="________________","Σύνολα",IF(MID(Sheet4!B126,4,20)="Ballast","Σύνολα","")))</f>
        <v>Σύνολα</v>
      </c>
      <c r="C127">
        <f>IF(LEFT(A127,3)="TK-",VLOOKUP(A127,Sheet3!A:B,2,FALSE),IF(B127="Σύνολα",SUMIF(B$1:B$200,Sheet6!K126,C$1:C$200),""))</f>
        <v>21238</v>
      </c>
      <c r="D127" t="str">
        <f>IF(LEFT(A127,3)="TK-",VLOOKUP(A127,Sheet3!A:C,3,FALSE),"")</f>
        <v/>
      </c>
      <c r="E127">
        <f>IF(ISNUMBER(Sheet4!D127),ROUND(Sheet4!D127,1),IF(B127="Σύνολα",SUMIF(B$1:B$200,Sheet6!K126,E$1:E$200),""))</f>
        <v>1652.8</v>
      </c>
      <c r="F127" s="31" t="str">
        <f>IF(ISNUMBER(Sheet4!E127),Sheet4!E127,"")</f>
        <v/>
      </c>
      <c r="G127">
        <f>IF(ISNUMBER(Sheet4!G127),ROUND(Sheet4!G127,1),IF(B127="Σύνολα",SUMIF(B$1:B$200,Sheet6!K126,G$1:G$200),""))</f>
        <v>1546.5</v>
      </c>
      <c r="H127">
        <f>IF(ISNUMBER(Sheet4!F127),ROUND(Sheet4!F127,1),IF(B127="Σύνολα",SUMIF(B$1:B$200,Sheet6!K126,H$1:H$200),""))</f>
        <v>19588.5</v>
      </c>
      <c r="I127">
        <f>IF(ISNUMBER(Sheet4!J127),ROUND(Sheet4!J127,1),IF(B127="Σύνολα",SUMIF(B$1:B$200,Sheet6!K126,I$1:I$200),""))</f>
        <v>4.5999999999999996</v>
      </c>
      <c r="J127">
        <f>IF(LEFT(A127,3)="TK-",VLOOKUP(A127,Sheet3!A:D,4,FALSE),IF(B127="Σύνολα",SUMIF(B$1:B$200,Sheet6!K126,J$1:J$200),""))</f>
        <v>1400</v>
      </c>
      <c r="K127">
        <f>IF(B127="Σύνολα",SUMIF(B$1:B$200,Sheet6!K126,K$1:K$200),IF(ISNUMBER(E127),IF(E127&gt;J127,ROUND((E127-J127),1),""),""))</f>
        <v>252.8</v>
      </c>
      <c r="L127" s="6" t="str">
        <f>IF(ISNUMBER(Sheet4!J127),IF(AND(ISNUMBER(H127),H127&gt;0,I127&gt;0),ROUNDDOWN(H127/I127,0),""),"")</f>
        <v/>
      </c>
      <c r="M127" s="6" t="str">
        <f>IF(AND(ISNUMBER(Sheet4!J127),ISNUMBER(K127)),IF(I127&lt;0,ROUNDDOWN(K127/I127,0),""),"")</f>
        <v/>
      </c>
      <c r="N127" s="29" t="str">
        <f>IF(ISNUMBER(Sheet4!H127),Sheet4!H127/1000,"")</f>
        <v/>
      </c>
    </row>
    <row r="128" spans="1:14" ht="12.75" customHeight="1" x14ac:dyDescent="0.2">
      <c r="A128" t="str">
        <f>IF(OR(Sheet4!C128="?",ISNUMBER(Sheet4!C128)),Sheet4!A128,IF(B128="Σύνολα",B127,""))</f>
        <v/>
      </c>
      <c r="B128" s="94" t="str">
        <f>IF(OR(Sheet4!D128="?",ISNUMBER(Sheet4!D128)),MID(Sheet4!B128,4,20),IF(Sheet4!B128="________________","Σύνολα",IF(MID(Sheet4!B127,4,20)="Ballast","Σύνολα","")))</f>
        <v/>
      </c>
      <c r="C128" t="str">
        <f>IF(LEFT(A128,3)="TK-",VLOOKUP(A128,Sheet3!A:B,2,FALSE),IF(B128="Σύνολα",SUMIF(B$1:B$200,Sheet6!K127,C$1:C$200),""))</f>
        <v/>
      </c>
      <c r="D128" t="str">
        <f>IF(LEFT(A128,3)="TK-",VLOOKUP(A128,Sheet3!A:C,3,FALSE),"")</f>
        <v/>
      </c>
      <c r="E128" t="str">
        <f>IF(ISNUMBER(Sheet4!D128),ROUND(Sheet4!D128,1),IF(B128="Σύνολα",SUMIF(B$1:B$200,Sheet6!K127,E$1:E$200),""))</f>
        <v/>
      </c>
      <c r="F128" s="31" t="str">
        <f>IF(ISNUMBER(Sheet4!E128),Sheet4!E128,"")</f>
        <v/>
      </c>
      <c r="G128" t="str">
        <f>IF(ISNUMBER(Sheet4!G128),ROUND(Sheet4!G128,1),IF(B128="Σύνολα",SUMIF(B$1:B$200,Sheet6!K127,G$1:G$200),""))</f>
        <v/>
      </c>
      <c r="H128" t="str">
        <f>IF(ISNUMBER(Sheet4!F128),ROUND(Sheet4!F128,1),IF(B128="Σύνολα",SUMIF(B$1:B$200,Sheet6!K127,H$1:H$200),""))</f>
        <v/>
      </c>
      <c r="I128" t="str">
        <f>IF(ISNUMBER(Sheet4!J128),ROUND(Sheet4!J128,1),IF(B128="Σύνολα",SUMIF(B$1:B$200,Sheet6!K127,I$1:I$200),""))</f>
        <v/>
      </c>
      <c r="J128" t="str">
        <f>IF(LEFT(A128,3)="TK-",VLOOKUP(A128,Sheet3!A:D,4,FALSE),IF(B128="Σύνολα",SUMIF(B$1:B$200,Sheet6!K127,J$1:J$200),""))</f>
        <v/>
      </c>
      <c r="K128" t="str">
        <f>IF(B128="Σύνολα",SUMIF(B$1:B$200,Sheet6!K127,K$1:K$200),IF(ISNUMBER(E128),IF(E128&gt;J128,ROUND((E128-J128),1),""),""))</f>
        <v/>
      </c>
      <c r="L128" s="6" t="str">
        <f>IF(ISNUMBER(Sheet4!J128),IF(AND(ISNUMBER(H128),H128&gt;0,I128&gt;0),ROUNDDOWN(H128/I128,0),""),"")</f>
        <v/>
      </c>
      <c r="M128" s="6" t="str">
        <f>IF(AND(ISNUMBER(Sheet4!J128),ISNUMBER(K128)),IF(I128&lt;0,ROUNDDOWN(K128/I128,0),""),"")</f>
        <v/>
      </c>
      <c r="N128" s="29" t="str">
        <f>IF(ISNUMBER(Sheet4!H128),Sheet4!H128/1000,"")</f>
        <v/>
      </c>
    </row>
    <row r="129" spans="1:14" ht="12.75" customHeight="1" x14ac:dyDescent="0.2">
      <c r="A129" t="str">
        <f>IF(OR(Sheet4!C129="?",ISNUMBER(Sheet4!C129)),Sheet4!A129,IF(B129="Σύνολα",B128,""))</f>
        <v/>
      </c>
      <c r="B129" s="94" t="str">
        <f>IF(OR(Sheet4!D129="?",ISNUMBER(Sheet4!D129)),MID(Sheet4!B129,4,20),IF(Sheet4!B129="________________","Σύνολα",IF(MID(Sheet4!B128,4,20)="Ballast","Σύνολα","")))</f>
        <v/>
      </c>
      <c r="C129" t="str">
        <f>IF(LEFT(A129,3)="TK-",VLOOKUP(A129,Sheet3!A:B,2,FALSE),IF(B129="Σύνολα",SUMIF(B$1:B$200,Sheet6!K128,C$1:C$200),""))</f>
        <v/>
      </c>
      <c r="D129" t="str">
        <f>IF(LEFT(A129,3)="TK-",VLOOKUP(A129,Sheet3!A:C,3,FALSE),"")</f>
        <v/>
      </c>
      <c r="E129" t="str">
        <f>IF(ISNUMBER(Sheet4!D129),ROUND(Sheet4!D129,1),IF(B129="Σύνολα",SUMIF(B$1:B$200,Sheet6!K128,E$1:E$200),""))</f>
        <v/>
      </c>
      <c r="F129" s="31" t="str">
        <f>IF(ISNUMBER(Sheet4!E129),Sheet4!E129,"")</f>
        <v/>
      </c>
      <c r="G129" t="str">
        <f>IF(ISNUMBER(Sheet4!G129),ROUND(Sheet4!G129,1),IF(B129="Σύνολα",SUMIF(B$1:B$200,Sheet6!K128,G$1:G$200),""))</f>
        <v/>
      </c>
      <c r="H129" t="str">
        <f>IF(ISNUMBER(Sheet4!F129),ROUND(Sheet4!F129,1),IF(B129="Σύνολα",SUMIF(B$1:B$200,Sheet6!K128,H$1:H$200),""))</f>
        <v/>
      </c>
      <c r="I129" t="str">
        <f>IF(ISNUMBER(Sheet4!J129),ROUND(Sheet4!J129,1),IF(B129="Σύνολα",SUMIF(B$1:B$200,Sheet6!K128,I$1:I$200),""))</f>
        <v/>
      </c>
      <c r="J129" t="str">
        <f>IF(LEFT(A129,3)="TK-",VLOOKUP(A129,Sheet3!A:D,4,FALSE),IF(B129="Σύνολα",SUMIF(B$1:B$200,Sheet6!K128,J$1:J$200),""))</f>
        <v/>
      </c>
      <c r="K129" t="str">
        <f>IF(B129="Σύνολα",SUMIF(B$1:B$200,Sheet6!K128,K$1:K$200),IF(ISNUMBER(E129),IF(E129&gt;J129,ROUND((E129-J129),1),""),""))</f>
        <v/>
      </c>
      <c r="L129" s="6" t="str">
        <f>IF(ISNUMBER(Sheet4!J129),IF(AND(ISNUMBER(H129),H129&gt;0,I129&gt;0),ROUNDDOWN(H129/I129,0),""),"")</f>
        <v/>
      </c>
      <c r="M129" s="6" t="str">
        <f>IF(AND(ISNUMBER(Sheet4!J129),ISNUMBER(K129)),IF(I129&lt;0,ROUNDDOWN(K129/I129,0),""),"")</f>
        <v/>
      </c>
      <c r="N129" s="29" t="str">
        <f>IF(ISNUMBER(Sheet4!H129),Sheet4!H129/1000,"")</f>
        <v/>
      </c>
    </row>
    <row r="130" spans="1:14" ht="12.75" customHeight="1" x14ac:dyDescent="0.2">
      <c r="A130" t="str">
        <f>IF(OR(Sheet4!C130="?",ISNUMBER(Sheet4!C130)),Sheet4!A130,IF(B130="Σύνολα",B129,""))</f>
        <v>TK-801</v>
      </c>
      <c r="B130" s="94" t="str">
        <f>IF(OR(Sheet4!D130="?",ISNUMBER(Sheet4!D130)),MID(Sheet4!B130,4,20),IF(Sheet4!B130="________________","Σύνολα",IF(MID(Sheet4!B129,4,20)="Ballast","Σύνολα","")))</f>
        <v>Ballast</v>
      </c>
      <c r="C130">
        <f>IF(LEFT(A130,3)="TK-",VLOOKUP(A130,Sheet3!A:B,2,FALSE),IF(B130="Σύνολα",SUMIF(B$1:B$200,Sheet6!K129,C$1:C$200),""))</f>
        <v>36892</v>
      </c>
      <c r="D130" t="str">
        <f>IF(LEFT(A130,3)="TK-",VLOOKUP(A130,Sheet3!A:C,3,FALSE),"")</f>
        <v>2722+ 926</v>
      </c>
      <c r="E130">
        <f>IF(ISNUMBER(Sheet4!D130),ROUND(Sheet4!D130,1),IF(B130="Σύνολα",SUMIF(B$1:B$200,Sheet6!K129,E$1:E$200),""))</f>
        <v>21756.1</v>
      </c>
      <c r="F130" s="31">
        <f>IF(ISNUMBER(Sheet4!E130),Sheet4!E130,"")</f>
        <v>10.7</v>
      </c>
      <c r="G130">
        <f>IF(ISNUMBER(Sheet4!G130),ROUND(Sheet4!G130,1),IF(B130="Σύνολα",SUMIF(B$1:B$200,Sheet6!K129,G$1:G$200),""))</f>
        <v>21845.3</v>
      </c>
      <c r="H130">
        <f>IF(ISNUMBER(Sheet4!F130),ROUND(Sheet4!F130,1),IF(B130="Σύνολα",SUMIF(B$1:B$200,Sheet6!K129,H$1:H$200),""))</f>
        <v>14912.3</v>
      </c>
      <c r="I130">
        <f>IF(ISNUMBER(Sheet4!J130),ROUND(Sheet4!J130,1),IF(B130="Σύνολα",SUMIF(B$1:B$200,Sheet6!K129,I$1:I$200),""))</f>
        <v>853.1</v>
      </c>
      <c r="J130">
        <f>IF(LEFT(A130,3)="TK-",VLOOKUP(A130,Sheet3!A:D,4,FALSE),IF(B130="Σύνολα",SUMIF(B$1:B$200,Sheet6!K129,J$1:J$200),""))</f>
        <v>6200</v>
      </c>
      <c r="K130">
        <f>IF(B130="Σύνολα",SUMIF(B$1:B$200,Sheet6!K129,K$1:K$200),IF(ISNUMBER(E130),IF(E130&gt;J130,ROUND((E130-J130),1),""),""))</f>
        <v>15556.1</v>
      </c>
      <c r="L130" s="6">
        <f>IF(ISNUMBER(Sheet4!J130),IF(AND(ISNUMBER(H130),H130&gt;0,I130&gt;0),ROUNDDOWN(H130/I130,0),""),"")</f>
        <v>17</v>
      </c>
      <c r="M130" s="6" t="str">
        <f>IF(AND(ISNUMBER(Sheet4!J130),ISNUMBER(K130)),IF(I130&lt;0,ROUNDDOWN(K130/I130,0),""),"")</f>
        <v/>
      </c>
      <c r="N130" s="29">
        <f>IF(ISNUMBER(Sheet4!H130),Sheet4!H130/1000,"")</f>
        <v>0.80500000000000005</v>
      </c>
    </row>
    <row r="131" spans="1:14" ht="12.75" customHeight="1" x14ac:dyDescent="0.2">
      <c r="A131" t="str">
        <f>IF(OR(Sheet4!C131="?",ISNUMBER(Sheet4!C131)),Sheet4!A131,IF(B131="Σύνολα",B130,""))</f>
        <v>TK-1041</v>
      </c>
      <c r="B131" s="94" t="str">
        <f>IF(OR(Sheet4!D131="?",ISNUMBER(Sheet4!D131)),MID(Sheet4!B131,4,20),IF(Sheet4!B131="________________","Σύνολα",IF(MID(Sheet4!B130,4,20)="Ballast","Σύνολα","")))</f>
        <v>Ballast</v>
      </c>
      <c r="C131">
        <f>IF(LEFT(A131,3)="TK-",VLOOKUP(A131,Sheet3!A:B,2,FALSE),IF(B131="Σύνολα",SUMIF(B$1:B$200,Sheet6!K130,C$1:C$200),""))</f>
        <v>293</v>
      </c>
      <c r="D131" t="str">
        <f>IF(LEFT(A131,3)="TK-",VLOOKUP(A131,Sheet3!A:C,3,FALSE),"")</f>
        <v>111xΎψος</v>
      </c>
      <c r="E131">
        <f>IF(ISNUMBER(Sheet4!D131),ROUND(Sheet4!D131,1),IF(B131="Σύνολα",SUMIF(B$1:B$200,Sheet6!K130,E$1:E$200),""))</f>
        <v>177.3</v>
      </c>
      <c r="F131" s="31">
        <f>IF(ISNUMBER(Sheet4!E131),Sheet4!E131,"")</f>
        <v>15</v>
      </c>
      <c r="G131">
        <f>IF(ISNUMBER(Sheet4!G131),ROUND(Sheet4!G131,1),IF(B131="Σύνολα",SUMIF(B$1:B$200,Sheet6!K130,G$1:G$200),""))</f>
        <v>177.3</v>
      </c>
      <c r="H131">
        <f>IF(ISNUMBER(Sheet4!F131),ROUND(Sheet4!F131,1),IF(B131="Σύνολα",SUMIF(B$1:B$200,Sheet6!K130,H$1:H$200),""))</f>
        <v>352.7</v>
      </c>
      <c r="I131">
        <f>IF(ISNUMBER(Sheet4!J131),ROUND(Sheet4!J131,1),IF(B131="Σύνολα",SUMIF(B$1:B$200,Sheet6!K130,I$1:I$200),""))</f>
        <v>0</v>
      </c>
      <c r="J131">
        <f>IF(LEFT(A131,3)="TK-",VLOOKUP(A131,Sheet3!A:D,4,FALSE),IF(B131="Σύνολα",SUMIF(B$1:B$200,Sheet6!K130,J$1:J$200),""))</f>
        <v>80</v>
      </c>
      <c r="K131">
        <f>IF(B131="Σύνολα",SUMIF(B$1:B$200,Sheet6!K130,K$1:K$200),IF(ISNUMBER(E131),IF(E131&gt;J131,ROUND((E131-J131),1),""),""))</f>
        <v>97.3</v>
      </c>
      <c r="L131" s="6" t="str">
        <f>IF(ISNUMBER(Sheet4!J131),IF(AND(ISNUMBER(H131),H131&gt;0,I131&gt;0),ROUNDDOWN(H131/I131,0),""),"")</f>
        <v/>
      </c>
      <c r="M131" s="6" t="str">
        <f>IF(AND(ISNUMBER(Sheet4!J131),ISNUMBER(K131)),IF(I131&lt;0,ROUNDDOWN(K131/I131,0),""),"")</f>
        <v/>
      </c>
      <c r="N131" s="29">
        <f>IF(ISNUMBER(Sheet4!H131),Sheet4!H131/1000,"")</f>
        <v>0.7792</v>
      </c>
    </row>
    <row r="132" spans="1:14" ht="12.75" customHeight="1" x14ac:dyDescent="0.2">
      <c r="A132" t="str">
        <f>IF(OR(Sheet4!C132="?",ISNUMBER(Sheet4!C132)),Sheet4!A132,IF(B132="Σύνολα",B131,""))</f>
        <v>TK-1042</v>
      </c>
      <c r="B132" s="94" t="str">
        <f>IF(OR(Sheet4!D132="?",ISNUMBER(Sheet4!D132)),MID(Sheet4!B132,4,20),IF(Sheet4!B132="________________","Σύνολα",IF(MID(Sheet4!B131,4,20)="Ballast","Σύνολα","")))</f>
        <v>Ballast</v>
      </c>
      <c r="C132">
        <f>IF(LEFT(A132,3)="TK-",VLOOKUP(A132,Sheet3!A:B,2,FALSE),IF(B132="Σύνολα",SUMIF(B$1:B$200,Sheet6!K131,C$1:C$200),""))</f>
        <v>293</v>
      </c>
      <c r="D132" t="str">
        <f>IF(LEFT(A132,3)="TK-",VLOOKUP(A132,Sheet3!A:C,3,FALSE),"")</f>
        <v>111xΎψος</v>
      </c>
      <c r="E132">
        <f>IF(ISNUMBER(Sheet4!D132),ROUND(Sheet4!D132,1),IF(B132="Σύνολα",SUMIF(B$1:B$200,Sheet6!K131,E$1:E$200),""))</f>
        <v>177.2</v>
      </c>
      <c r="F132" s="31">
        <f>IF(ISNUMBER(Sheet4!E132),Sheet4!E132,"")</f>
        <v>15</v>
      </c>
      <c r="G132">
        <f>IF(ISNUMBER(Sheet4!G132),ROUND(Sheet4!G132,1),IF(B132="Σύνολα",SUMIF(B$1:B$200,Sheet6!K131,G$1:G$200),""))</f>
        <v>177.2</v>
      </c>
      <c r="H132">
        <f>IF(ISNUMBER(Sheet4!F132),ROUND(Sheet4!F132,1),IF(B132="Σύνολα",SUMIF(B$1:B$200,Sheet6!K131,H$1:H$200),""))</f>
        <v>352.7</v>
      </c>
      <c r="I132">
        <f>IF(ISNUMBER(Sheet4!J132),ROUND(Sheet4!J132,1),IF(B132="Σύνολα",SUMIF(B$1:B$200,Sheet6!K131,I$1:I$200),""))</f>
        <v>0</v>
      </c>
      <c r="J132">
        <f>IF(LEFT(A132,3)="TK-",VLOOKUP(A132,Sheet3!A:D,4,FALSE),IF(B132="Σύνολα",SUMIF(B$1:B$200,Sheet6!K131,J$1:J$200),""))</f>
        <v>80</v>
      </c>
      <c r="K132">
        <f>IF(B132="Σύνολα",SUMIF(B$1:B$200,Sheet6!K131,K$1:K$200),IF(ISNUMBER(E132),IF(E132&gt;J132,ROUND((E132-J132),1),""),""))</f>
        <v>97.2</v>
      </c>
      <c r="L132" s="6" t="str">
        <f>IF(ISNUMBER(Sheet4!J132),IF(AND(ISNUMBER(H132),H132&gt;0,I132&gt;0),ROUNDDOWN(H132/I132,0),""),"")</f>
        <v/>
      </c>
      <c r="M132" s="6" t="str">
        <f>IF(AND(ISNUMBER(Sheet4!J132),ISNUMBER(K132)),IF(I132&lt;0,ROUNDDOWN(K132/I132,0),""),"")</f>
        <v/>
      </c>
      <c r="N132" s="29">
        <f>IF(ISNUMBER(Sheet4!H132),Sheet4!H132/1000,"")</f>
        <v>0.7792</v>
      </c>
    </row>
    <row r="133" spans="1:14" ht="12.75" customHeight="1" x14ac:dyDescent="0.2">
      <c r="A133" t="str">
        <f>IF(OR(Sheet4!C133="?",ISNUMBER(Sheet4!C133)),Sheet4!A133,IF(B133="Σύνολα",B132,""))</f>
        <v>Ballast</v>
      </c>
      <c r="B133" s="94" t="str">
        <f>IF(OR(Sheet4!D133="?",ISNUMBER(Sheet4!D133)),MID(Sheet4!B133,4,20),IF(Sheet4!B133="________________","Σύνολα",IF(MID(Sheet4!B132,4,20)="Ballast","Σύνολα","")))</f>
        <v>Σύνολα</v>
      </c>
      <c r="C133">
        <f>IF(LEFT(A133,3)="TK-",VLOOKUP(A133,Sheet3!A:B,2,FALSE),IF(B133="Σύνολα",SUMIF(B$1:B$200,Sheet6!K132,C$1:C$200),""))</f>
        <v>37478</v>
      </c>
      <c r="D133" t="str">
        <f>IF(LEFT(A133,3)="TK-",VLOOKUP(A133,Sheet3!A:C,3,FALSE),"")</f>
        <v/>
      </c>
      <c r="E133">
        <f>IF(ISNUMBER(Sheet4!D133),ROUND(Sheet4!D133,1),IF(B133="Σύνολα",SUMIF(B$1:B$200,Sheet6!K132,E$1:E$200),""))</f>
        <v>22110.6</v>
      </c>
      <c r="F133" s="31" t="str">
        <f>IF(ISNUMBER(Sheet4!E133),Sheet4!E133,"")</f>
        <v/>
      </c>
      <c r="G133">
        <f>IF(ISNUMBER(Sheet4!G133),ROUND(Sheet4!G133,1),IF(B133="Σύνολα",SUMIF(B$1:B$200,Sheet6!K132,G$1:G$200),""))</f>
        <v>22199.8</v>
      </c>
      <c r="H133">
        <f>IF(ISNUMBER(Sheet4!F133),ROUND(Sheet4!F133,1),IF(B133="Σύνολα",SUMIF(B$1:B$200,Sheet6!K132,H$1:H$200),""))</f>
        <v>15617.7</v>
      </c>
      <c r="I133">
        <f>IF(ISNUMBER(Sheet4!J133),ROUND(Sheet4!J133,1),IF(B133="Σύνολα",SUMIF(B$1:B$200,Sheet6!K132,I$1:I$200),""))</f>
        <v>853.1</v>
      </c>
      <c r="J133">
        <f>IF(LEFT(A133,3)="TK-",VLOOKUP(A133,Sheet3!A:D,4,FALSE),IF(B133="Σύνολα",SUMIF(B$1:B$200,Sheet6!K132,J$1:J$200),""))</f>
        <v>6360</v>
      </c>
      <c r="K133">
        <f>IF(B133="Σύνολα",SUMIF(B$1:B$200,Sheet6!K132,K$1:K$200),IF(ISNUMBER(E133),IF(E133&gt;J133,ROUND((E133-J133),1),""),""))</f>
        <v>15750.6</v>
      </c>
      <c r="L133" s="6" t="str">
        <f>IF(ISNUMBER(Sheet4!J133),IF(AND(ISNUMBER(H133),H133&gt;0,I133&gt;0),ROUNDDOWN(H133/I133,0),""),"")</f>
        <v/>
      </c>
      <c r="M133" s="6" t="str">
        <f>IF(AND(ISNUMBER(Sheet4!J133),ISNUMBER(K133)),IF(I133&lt;0,ROUNDDOWN(K133/I133,0),""),"")</f>
        <v/>
      </c>
      <c r="N133" s="29" t="str">
        <f>IF(ISNUMBER(Sheet4!H133),Sheet4!H133/1000,"")</f>
        <v/>
      </c>
    </row>
    <row r="134" spans="1:14" ht="12.75" customHeight="1" x14ac:dyDescent="0.2">
      <c r="A134" t="str">
        <f>IF(OR(Sheet4!C134="?",ISNUMBER(Sheet4!C134)),Sheet4!A134,IF(B134="Σύνολα",B133,""))</f>
        <v/>
      </c>
      <c r="B134" s="94" t="str">
        <f>IF(OR(Sheet4!D134="?",ISNUMBER(Sheet4!D134)),MID(Sheet4!B134,4,20),IF(Sheet4!B134="________________","Σύνολα",IF(MID(Sheet4!B133,4,20)="Ballast","Σύνολα","")))</f>
        <v/>
      </c>
      <c r="C134" t="str">
        <f>IF(LEFT(A134,3)="TK-",VLOOKUP(A134,Sheet3!A:B,2,FALSE),IF(B134="Σύνολα",SUMIF(B$1:B$200,Sheet6!K133,C$1:C$200),""))</f>
        <v/>
      </c>
      <c r="D134" t="str">
        <f>IF(LEFT(A134,3)="TK-",VLOOKUP(A134,Sheet3!A:C,3,FALSE),"")</f>
        <v/>
      </c>
      <c r="E134" t="str">
        <f>IF(ISNUMBER(Sheet4!D134),ROUND(Sheet4!D134,1),IF(B134="Σύνολα",SUMIF(B$1:B$200,Sheet6!K133,E$1:E$200),""))</f>
        <v/>
      </c>
      <c r="F134" s="31" t="str">
        <f>IF(ISNUMBER(Sheet4!E134),Sheet4!E134,"")</f>
        <v/>
      </c>
      <c r="G134" t="str">
        <f>IF(ISNUMBER(Sheet4!G134),ROUND(Sheet4!G134,1),IF(B134="Σύνολα",SUMIF(B$1:B$200,Sheet6!K133,G$1:G$200),""))</f>
        <v/>
      </c>
      <c r="H134" t="str">
        <f>IF(ISNUMBER(Sheet4!F134),ROUND(Sheet4!F134,1),IF(B134="Σύνολα",SUMIF(B$1:B$200,Sheet6!K133,H$1:H$200),""))</f>
        <v/>
      </c>
      <c r="I134" t="str">
        <f>IF(ISNUMBER(Sheet4!J134),ROUND(Sheet4!J134,1),IF(B134="Σύνολα",SUMIF(B$1:B$200,Sheet6!K133,I$1:I$200),""))</f>
        <v/>
      </c>
      <c r="J134" t="str">
        <f>IF(LEFT(A134,3)="TK-",VLOOKUP(A134,Sheet3!A:D,4,FALSE),IF(B134="Σύνολα",SUMIF(B$1:B$200,Sheet6!K133,J$1:J$200),""))</f>
        <v/>
      </c>
      <c r="K134" t="str">
        <f>IF(B134="Σύνολα",SUMIF(B$1:B$200,Sheet6!K133,K$1:K$200),IF(ISNUMBER(E134),IF(E134&gt;J134,ROUND((E134-J134),1),""),""))</f>
        <v/>
      </c>
      <c r="L134" s="6" t="str">
        <f>IF(ISNUMBER(Sheet4!J134),IF(AND(ISNUMBER(H134),H134&gt;0,I134&gt;0),ROUNDDOWN(H134/I134,0),""),"")</f>
        <v/>
      </c>
      <c r="M134" s="6" t="str">
        <f>IF(AND(ISNUMBER(Sheet4!J134),ISNUMBER(K134)),IF(I134&lt;0,ROUNDDOWN(K134/I134,0),""),"")</f>
        <v/>
      </c>
      <c r="N134" s="29" t="str">
        <f>IF(ISNUMBER(Sheet4!H134),Sheet4!H134/1000,"")</f>
        <v/>
      </c>
    </row>
    <row r="135" spans="1:14" ht="12.75" customHeight="1" x14ac:dyDescent="0.2">
      <c r="A135" t="str">
        <f>IF(OR(Sheet4!C135="?",ISNUMBER(Sheet4!C135)),Sheet4!A135,IF(B135="Σύνολα",B134,""))</f>
        <v/>
      </c>
      <c r="B135" s="94" t="str">
        <f>IF(OR(Sheet4!D135="?",ISNUMBER(Sheet4!D135)),MID(Sheet4!B135,4,20),IF(Sheet4!B135="________________","Σύνολα",IF(MID(Sheet4!B134,4,20)="Ballast","Σύνολα","")))</f>
        <v/>
      </c>
      <c r="C135" t="str">
        <f>IF(LEFT(A135,3)="TK-",VLOOKUP(A135,Sheet3!A:B,2,FALSE),IF(B135="Σύνολα",SUMIF(B$1:B$200,Sheet6!K134,C$1:C$200),""))</f>
        <v/>
      </c>
      <c r="D135" t="str">
        <f>IF(LEFT(A135,3)="TK-",VLOOKUP(A135,Sheet3!A:C,3,FALSE),"")</f>
        <v/>
      </c>
      <c r="E135" t="str">
        <f>IF(ISNUMBER(Sheet4!D135),ROUND(Sheet4!D135,1),IF(B135="Σύνολα",SUMIF(B$1:B$200,Sheet6!K134,E$1:E$200),""))</f>
        <v/>
      </c>
      <c r="F135" s="31" t="str">
        <f>IF(ISNUMBER(Sheet4!E135),Sheet4!E135,"")</f>
        <v/>
      </c>
      <c r="G135" t="str">
        <f>IF(ISNUMBER(Sheet4!G135),ROUND(Sheet4!G135,1),IF(B135="Σύνολα",SUMIF(B$1:B$200,Sheet6!K134,G$1:G$200),""))</f>
        <v/>
      </c>
      <c r="H135" t="str">
        <f>IF(ISNUMBER(Sheet4!F135),ROUND(Sheet4!F135,1),IF(B135="Σύνολα",SUMIF(B$1:B$200,Sheet6!K134,H$1:H$200),""))</f>
        <v/>
      </c>
      <c r="I135" t="str">
        <f>IF(ISNUMBER(Sheet4!J135),ROUND(Sheet4!J135,1),IF(B135="Σύνολα",SUMIF(B$1:B$200,Sheet6!K134,I$1:I$200),""))</f>
        <v/>
      </c>
      <c r="J135" t="str">
        <f>IF(LEFT(A135,3)="TK-",VLOOKUP(A135,Sheet3!A:D,4,FALSE),IF(B135="Σύνολα",SUMIF(B$1:B$200,Sheet6!K134,J$1:J$200),""))</f>
        <v/>
      </c>
      <c r="K135" t="str">
        <f>IF(B135="Σύνολα",SUMIF(B$1:B$200,Sheet6!K134,K$1:K$200),IF(ISNUMBER(E135),IF(E135&gt;J135,ROUND((E135-J135),1),""),""))</f>
        <v/>
      </c>
      <c r="L135" s="6" t="str">
        <f>IF(ISNUMBER(Sheet4!J135),IF(AND(ISNUMBER(H135),H135&gt;0,I135&gt;0),ROUNDDOWN(H135/I135,0),""),"")</f>
        <v/>
      </c>
      <c r="M135" s="6" t="str">
        <f>IF(AND(ISNUMBER(Sheet4!J135),ISNUMBER(K135)),IF(I135&lt;0,ROUNDDOWN(K135/I135,0),""),"")</f>
        <v/>
      </c>
      <c r="N135" s="29" t="str">
        <f>IF(ISNUMBER(Sheet4!H135),Sheet4!H135/1000,"")</f>
        <v/>
      </c>
    </row>
    <row r="136" spans="1:14" ht="12.75" customHeight="1" x14ac:dyDescent="0.2">
      <c r="A136" t="str">
        <f>IF(OR(Sheet4!C136="?",ISNUMBER(Sheet4!C136)),Sheet4!A136,IF(B136="Σύνολα",B135,""))</f>
        <v/>
      </c>
      <c r="B136" s="94" t="str">
        <f>IF(OR(Sheet4!D136="?",ISNUMBER(Sheet4!D136)),MID(Sheet4!B136,4,20),IF(Sheet4!B136="________________","Σύνολα",IF(MID(Sheet4!B135,4,20)="Ballast","Σύνολα","")))</f>
        <v/>
      </c>
      <c r="C136" t="str">
        <f>IF(LEFT(A136,3)="TK-",VLOOKUP(A136,Sheet3!A:B,2,FALSE),IF(B136="Σύνολα",SUMIF(B$1:B$200,Sheet6!K135,C$1:C$200),""))</f>
        <v/>
      </c>
      <c r="D136" t="str">
        <f>IF(LEFT(A136,3)="TK-",VLOOKUP(A136,Sheet3!A:C,3,FALSE),"")</f>
        <v/>
      </c>
      <c r="E136" t="str">
        <f>IF(ISNUMBER(Sheet4!D136),ROUND(Sheet4!D136,1),IF(B136="Σύνολα",SUMIF(B$1:B$200,Sheet6!K135,E$1:E$200),""))</f>
        <v/>
      </c>
      <c r="F136" s="31" t="str">
        <f>IF(ISNUMBER(Sheet4!E136),Sheet4!E136,"")</f>
        <v/>
      </c>
      <c r="G136" t="str">
        <f>IF(ISNUMBER(Sheet4!G136),ROUND(Sheet4!G136,1),IF(B136="Σύνολα",SUMIF(B$1:B$200,Sheet6!K135,G$1:G$200),""))</f>
        <v/>
      </c>
      <c r="H136" t="str">
        <f>IF(ISNUMBER(Sheet4!F136),ROUND(Sheet4!F136,1),IF(B136="Σύνολα",SUMIF(B$1:B$200,Sheet6!K135,H$1:H$200),""))</f>
        <v/>
      </c>
      <c r="I136" t="str">
        <f>IF(ISNUMBER(Sheet4!J136),ROUND(Sheet4!J136,1),IF(B136="Σύνολα",SUMIF(B$1:B$200,Sheet6!K135,I$1:I$200),""))</f>
        <v/>
      </c>
      <c r="J136" t="str">
        <f>IF(LEFT(A136,3)="TK-",VLOOKUP(A136,Sheet3!A:D,4,FALSE),IF(B136="Σύνολα",SUMIF(B$1:B$200,Sheet6!K135,J$1:J$200),""))</f>
        <v/>
      </c>
      <c r="K136" t="str">
        <f>IF(B136="Σύνολα",SUMIF(B$1:B$200,Sheet6!K135,K$1:K$200),IF(ISNUMBER(E136),IF(E136&gt;J136,ROUND((E136-J136),1),""),""))</f>
        <v/>
      </c>
      <c r="L136" s="6" t="str">
        <f>IF(ISNUMBER(Sheet4!J136),IF(AND(ISNUMBER(H136),H136&gt;0,I136&gt;0),ROUNDDOWN(H136/I136,0),""),"")</f>
        <v/>
      </c>
      <c r="M136" s="6" t="str">
        <f>IF(AND(ISNUMBER(Sheet4!J136),ISNUMBER(K136)),IF(I136&lt;0,ROUNDDOWN(K136/I136,0),""),"")</f>
        <v/>
      </c>
      <c r="N136" s="29" t="str">
        <f>IF(ISNUMBER(Sheet4!H136),Sheet4!H136/1000,"")</f>
        <v/>
      </c>
    </row>
    <row r="137" spans="1:14" ht="12.75" customHeight="1" x14ac:dyDescent="0.2">
      <c r="A137" t="str">
        <f>IF(OR(Sheet4!C137="?",ISNUMBER(Sheet4!C137)),Sheet4!A137,IF(B137="Σύνολα",B136,""))</f>
        <v/>
      </c>
      <c r="B137" s="94" t="str">
        <f>IF(OR(Sheet4!D137="?",ISNUMBER(Sheet4!D137)),MID(Sheet4!B137,4,20),IF(Sheet4!B137="________________","Σύνολα",IF(MID(Sheet4!B136,4,20)="Ballast","Σύνολα","")))</f>
        <v/>
      </c>
      <c r="C137" t="str">
        <f>IF(LEFT(A137,3)="TK-",VLOOKUP(A137,Sheet3!A:B,2,FALSE),IF(B137="Σύνολα",SUMIF(B$1:B$200,Sheet6!K136,C$1:C$200),""))</f>
        <v/>
      </c>
      <c r="D137" t="str">
        <f>IF(LEFT(A137,3)="TK-",VLOOKUP(A137,Sheet3!A:C,3,FALSE),"")</f>
        <v/>
      </c>
      <c r="E137" t="str">
        <f>IF(ISNUMBER(Sheet4!D137),ROUND(Sheet4!D137,1),IF(B137="Σύνολα",SUMIF(B$1:B$200,Sheet6!K136,E$1:E$200),""))</f>
        <v/>
      </c>
      <c r="F137" s="31" t="str">
        <f>IF(ISNUMBER(Sheet4!E137),Sheet4!E137,"")</f>
        <v/>
      </c>
      <c r="G137" t="str">
        <f>IF(ISNUMBER(Sheet4!G137),ROUND(Sheet4!G137,1),IF(B137="Σύνολα",SUMIF(B$1:B$200,Sheet6!K136,G$1:G$200),""))</f>
        <v/>
      </c>
      <c r="H137" t="str">
        <f>IF(ISNUMBER(Sheet4!F137),ROUND(Sheet4!F137,1),IF(B137="Σύνολα",SUMIF(B$1:B$200,Sheet6!K136,H$1:H$200),""))</f>
        <v/>
      </c>
      <c r="I137" t="str">
        <f>IF(ISNUMBER(Sheet4!J137),ROUND(Sheet4!J137,1),IF(B137="Σύνολα",SUMIF(B$1:B$200,Sheet6!K136,I$1:I$200),""))</f>
        <v/>
      </c>
      <c r="J137" t="str">
        <f>IF(LEFT(A137,3)="TK-",VLOOKUP(A137,Sheet3!A:D,4,FALSE),IF(B137="Σύνολα",SUMIF(B$1:B$200,Sheet6!K136,J$1:J$200),""))</f>
        <v/>
      </c>
      <c r="K137" t="str">
        <f>IF(B137="Σύνολα",SUMIF(B$1:B$200,Sheet6!K136,K$1:K$200),IF(ISNUMBER(E137),IF(E137&gt;J137,ROUND((E137-J137),1),""),""))</f>
        <v/>
      </c>
      <c r="L137" s="6" t="str">
        <f>IF(ISNUMBER(Sheet4!J137),IF(AND(ISNUMBER(H137),H137&gt;0,I137&gt;0),ROUNDDOWN(H137/I137,0),""),"")</f>
        <v/>
      </c>
      <c r="M137" s="6" t="str">
        <f>IF(AND(ISNUMBER(Sheet4!J137),ISNUMBER(K137)),IF(I137&lt;0,ROUNDDOWN(K137/I137,0),""),"")</f>
        <v/>
      </c>
      <c r="N137" s="29" t="str">
        <f>IF(ISNUMBER(Sheet4!H137),Sheet4!H137/1000,"")</f>
        <v/>
      </c>
    </row>
    <row r="138" spans="1:14" ht="12.75" customHeight="1" x14ac:dyDescent="0.2">
      <c r="A138" t="str">
        <f>IF(OR(Sheet4!C138="?",ISNUMBER(Sheet4!C138)),Sheet4!A138,IF(B138="Σύνολα",B137,""))</f>
        <v/>
      </c>
      <c r="B138" s="94" t="str">
        <f>IF(OR(Sheet4!D138="?",ISNUMBER(Sheet4!D138)),MID(Sheet4!B138,4,20),IF(Sheet4!B138="________________","Σύνολα",IF(MID(Sheet4!B137,4,20)="Ballast","Σύνολα","")))</f>
        <v/>
      </c>
      <c r="C138" t="str">
        <f>IF(LEFT(A138,3)="TK-",VLOOKUP(A138,Sheet3!A:B,2,FALSE),IF(B138="Σύνολα",SUMIF(B$1:B$200,Sheet6!K137,C$1:C$200),""))</f>
        <v/>
      </c>
      <c r="D138" t="str">
        <f>IF(LEFT(A138,3)="TK-",VLOOKUP(A138,Sheet3!A:C,3,FALSE),"")</f>
        <v/>
      </c>
      <c r="E138" t="str">
        <f>IF(ISNUMBER(Sheet4!D138),ROUND(Sheet4!D138,1),IF(B138="Σύνολα",SUMIF(B$1:B$200,Sheet6!K137,E$1:E$200),""))</f>
        <v/>
      </c>
      <c r="F138" s="31" t="str">
        <f>IF(ISNUMBER(Sheet4!E138),Sheet4!E138,"")</f>
        <v/>
      </c>
      <c r="G138" t="str">
        <f>IF(ISNUMBER(Sheet4!G138),ROUND(Sheet4!G138,1),IF(B138="Σύνολα",SUMIF(B$1:B$200,Sheet6!K137,G$1:G$200),""))</f>
        <v/>
      </c>
      <c r="H138" t="str">
        <f>IF(ISNUMBER(Sheet4!F138),ROUND(Sheet4!F138,1),IF(B138="Σύνολα",SUMIF(B$1:B$200,Sheet6!K137,H$1:H$200),""))</f>
        <v/>
      </c>
      <c r="I138" t="str">
        <f>IF(ISNUMBER(Sheet4!J138),ROUND(Sheet4!J138,1),IF(B138="Σύνολα",SUMIF(B$1:B$200,Sheet6!K137,I$1:I$200),""))</f>
        <v/>
      </c>
      <c r="J138" t="str">
        <f>IF(LEFT(A138,3)="TK-",VLOOKUP(A138,Sheet3!A:D,4,FALSE),IF(B138="Σύνολα",SUMIF(B$1:B$200,Sheet6!K137,J$1:J$200),""))</f>
        <v/>
      </c>
      <c r="K138" t="str">
        <f>IF(B138="Σύνολα",SUMIF(B$1:B$200,Sheet6!K137,K$1:K$200),IF(ISNUMBER(E138),IF(E138&gt;J138,ROUND((E138-J138),1),""),""))</f>
        <v/>
      </c>
      <c r="L138" s="6" t="str">
        <f>IF(ISNUMBER(Sheet4!J138),IF(AND(ISNUMBER(H138),H138&gt;0,I138&gt;0),ROUNDDOWN(H138/I138,0),""),"")</f>
        <v/>
      </c>
      <c r="M138" s="6" t="str">
        <f>IF(AND(ISNUMBER(Sheet4!J138),ISNUMBER(K138)),IF(I138&lt;0,ROUNDDOWN(K138/I138,0),""),"")</f>
        <v/>
      </c>
      <c r="N138" s="29" t="str">
        <f>IF(ISNUMBER(Sheet4!H138),Sheet4!H138/1000,"")</f>
        <v/>
      </c>
    </row>
    <row r="139" spans="1:14" ht="12.75" customHeight="1" x14ac:dyDescent="0.2">
      <c r="A139" t="str">
        <f>IF(OR(Sheet4!C139="?",ISNUMBER(Sheet4!C139)),Sheet4!A139,IF(B139="Σύνολα",B138,""))</f>
        <v/>
      </c>
      <c r="B139" s="94" t="str">
        <f>IF(OR(Sheet4!D139="?",ISNUMBER(Sheet4!D139)),MID(Sheet4!B139,4,20),IF(Sheet4!B139="________________","Σύνολα",IF(MID(Sheet4!B138,4,20)="Ballast","Σύνολα","")))</f>
        <v/>
      </c>
      <c r="C139" t="str">
        <f>IF(LEFT(A139,3)="TK-",VLOOKUP(A139,Sheet3!A:B,2,FALSE),IF(B139="Σύνολα",SUMIF(B$1:B$200,Sheet6!K138,C$1:C$200),""))</f>
        <v/>
      </c>
      <c r="D139" t="str">
        <f>IF(LEFT(A139,3)="TK-",VLOOKUP(A139,Sheet3!A:C,3,FALSE),"")</f>
        <v/>
      </c>
      <c r="E139" t="str">
        <f>IF(ISNUMBER(Sheet4!D139),ROUND(Sheet4!D139,1),IF(B139="Σύνολα",SUMIF(B$1:B$200,Sheet6!K138,E$1:E$200),""))</f>
        <v/>
      </c>
      <c r="F139" s="31" t="str">
        <f>IF(ISNUMBER(Sheet4!E139),Sheet4!E139,"")</f>
        <v/>
      </c>
      <c r="G139" t="str">
        <f>IF(ISNUMBER(Sheet4!G139),ROUND(Sheet4!G139,1),IF(B139="Σύνολα",SUMIF(B$1:B$200,Sheet6!K138,G$1:G$200),""))</f>
        <v/>
      </c>
      <c r="H139" t="str">
        <f>IF(ISNUMBER(Sheet4!F139),ROUND(Sheet4!F139,1),IF(B139="Σύνολα",SUMIF(B$1:B$200,Sheet6!K138,H$1:H$200),""))</f>
        <v/>
      </c>
      <c r="I139" t="str">
        <f>IF(ISNUMBER(Sheet4!J139),ROUND(Sheet4!J139,1),IF(B139="Σύνολα",SUMIF(B$1:B$200,Sheet6!K138,I$1:I$200),""))</f>
        <v/>
      </c>
      <c r="J139" t="str">
        <f>IF(LEFT(A139,3)="TK-",VLOOKUP(A139,Sheet3!A:D,4,FALSE),IF(B139="Σύνολα",SUMIF(B$1:B$200,Sheet6!K138,J$1:J$200),""))</f>
        <v/>
      </c>
      <c r="K139" t="str">
        <f>IF(B139="Σύνολα",SUMIF(B$1:B$200,Sheet6!K138,K$1:K$200),IF(ISNUMBER(E139),IF(E139&gt;J139,ROUND((E139-J139),1),""),""))</f>
        <v/>
      </c>
      <c r="L139" s="6" t="str">
        <f>IF(ISNUMBER(Sheet4!J139),IF(AND(ISNUMBER(H139),H139&gt;0,I139&gt;0),ROUNDDOWN(H139/I139,0),""),"")</f>
        <v/>
      </c>
      <c r="M139" s="6" t="str">
        <f>IF(AND(ISNUMBER(Sheet4!J139),ISNUMBER(K139)),IF(I139&lt;0,ROUNDDOWN(K139/I139,0),""),"")</f>
        <v/>
      </c>
      <c r="N139" s="29" t="str">
        <f>IF(ISNUMBER(Sheet4!H139),Sheet4!H139/1000,"")</f>
        <v/>
      </c>
    </row>
    <row r="140" spans="1:14" ht="12.75" customHeight="1" x14ac:dyDescent="0.2">
      <c r="A140" t="str">
        <f>IF(OR(Sheet4!C140="?",ISNUMBER(Sheet4!C140)),Sheet4!A140,IF(B140="Σύνολα",B139,""))</f>
        <v/>
      </c>
      <c r="B140" s="94" t="str">
        <f>IF(OR(Sheet4!D140="?",ISNUMBER(Sheet4!D140)),MID(Sheet4!B140,4,20),IF(Sheet4!B140="________________","Σύνολα",IF(MID(Sheet4!B139,4,20)="Ballast","Σύνολα","")))</f>
        <v/>
      </c>
      <c r="C140" t="str">
        <f>IF(LEFT(A140,3)="TK-",VLOOKUP(A140,Sheet3!A:B,2,FALSE),IF(B140="Σύνολα",SUMIF(B$1:B$200,Sheet6!K139,C$1:C$200),""))</f>
        <v/>
      </c>
      <c r="D140" t="str">
        <f>IF(LEFT(A140,3)="TK-",VLOOKUP(A140,Sheet3!A:C,3,FALSE),"")</f>
        <v/>
      </c>
      <c r="E140" t="str">
        <f>IF(ISNUMBER(Sheet4!D140),ROUND(Sheet4!D140,1),IF(B140="Σύνολα",SUMIF(B$1:B$200,Sheet6!K139,E$1:E$200),""))</f>
        <v/>
      </c>
      <c r="F140" s="31" t="str">
        <f>IF(ISNUMBER(Sheet4!E140),Sheet4!E140,"")</f>
        <v/>
      </c>
      <c r="G140" t="str">
        <f>IF(ISNUMBER(Sheet4!G140),ROUND(Sheet4!G140,1),IF(B140="Σύνολα",SUMIF(B$1:B$200,Sheet6!K139,G$1:G$200),""))</f>
        <v/>
      </c>
      <c r="H140" t="str">
        <f>IF(ISNUMBER(Sheet4!F140),ROUND(Sheet4!F140,1),IF(B140="Σύνολα",SUMIF(B$1:B$200,Sheet6!K139,H$1:H$200),""))</f>
        <v/>
      </c>
      <c r="I140" t="str">
        <f>IF(ISNUMBER(Sheet4!J140),ROUND(Sheet4!J140,1),IF(B140="Σύνολα",SUMIF(B$1:B$200,Sheet6!K139,I$1:I$200),""))</f>
        <v/>
      </c>
      <c r="J140" t="str">
        <f>IF(LEFT(A140,3)="TK-",VLOOKUP(A140,Sheet3!A:D,4,FALSE),IF(B140="Σύνολα",SUMIF(B$1:B$200,Sheet6!K139,J$1:J$200),""))</f>
        <v/>
      </c>
      <c r="K140" t="str">
        <f>IF(B140="Σύνολα",SUMIF(B$1:B$200,Sheet6!K139,K$1:K$200),IF(ISNUMBER(E140),IF(E140&gt;J140,ROUND((E140-J140),1),""),""))</f>
        <v/>
      </c>
      <c r="L140" s="6" t="str">
        <f>IF(ISNUMBER(Sheet4!J140),IF(AND(ISNUMBER(H140),H140&gt;0,I140&gt;0),ROUNDDOWN(H140/I140,0),""),"")</f>
        <v/>
      </c>
      <c r="M140" s="6" t="str">
        <f>IF(AND(ISNUMBER(Sheet4!J140),ISNUMBER(K140)),IF(I140&lt;0,ROUNDDOWN(K140/I140,0),""),"")</f>
        <v/>
      </c>
      <c r="N140" s="29" t="str">
        <f>IF(ISNUMBER(Sheet4!H140),Sheet4!H140/1000,"")</f>
        <v/>
      </c>
    </row>
    <row r="141" spans="1:14" ht="12.75" customHeight="1" x14ac:dyDescent="0.2">
      <c r="A141" t="str">
        <f>IF(OR(Sheet4!C141="?",ISNUMBER(Sheet4!C141)),Sheet4!A141,IF(B141="Σύνολα",B140,""))</f>
        <v/>
      </c>
      <c r="B141" s="94" t="str">
        <f>IF(OR(Sheet4!D141="?",ISNUMBER(Sheet4!D141)),MID(Sheet4!B141,4,20),IF(Sheet4!B141="________________","Σύνολα",IF(MID(Sheet4!B140,4,20)="Ballast","Σύνολα","")))</f>
        <v/>
      </c>
      <c r="C141" t="str">
        <f>IF(LEFT(A141,3)="TK-",VLOOKUP(A141,Sheet3!A:B,2,FALSE),IF(B141="Σύνολα",SUMIF(B$1:B$200,Sheet6!K140,C$1:C$200),""))</f>
        <v/>
      </c>
      <c r="D141" t="str">
        <f>IF(LEFT(A141,3)="TK-",VLOOKUP(A141,Sheet3!A:C,3,FALSE),"")</f>
        <v/>
      </c>
      <c r="E141" t="str">
        <f>IF(ISNUMBER(Sheet4!D141),ROUND(Sheet4!D141,1),IF(B141="Σύνολα",SUMIF(B$1:B$200,Sheet6!K140,E$1:E$200),""))</f>
        <v/>
      </c>
      <c r="F141" s="31" t="str">
        <f>IF(ISNUMBER(Sheet4!E141),Sheet4!E141,"")</f>
        <v/>
      </c>
      <c r="G141" t="str">
        <f>IF(ISNUMBER(Sheet4!G141),ROUND(Sheet4!G141,1),IF(B141="Σύνολα",SUMIF(B$1:B$200,Sheet6!K140,G$1:G$200),""))</f>
        <v/>
      </c>
      <c r="H141" t="str">
        <f>IF(ISNUMBER(Sheet4!F141),ROUND(Sheet4!F141,1),IF(B141="Σύνολα",SUMIF(B$1:B$200,Sheet6!K140,H$1:H$200),""))</f>
        <v/>
      </c>
      <c r="I141" t="str">
        <f>IF(ISNUMBER(Sheet4!J141),ROUND(Sheet4!J141,1),IF(B141="Σύνολα",SUMIF(B$1:B$200,Sheet6!K140,I$1:I$200),""))</f>
        <v/>
      </c>
      <c r="J141" t="str">
        <f>IF(LEFT(A141,3)="TK-",VLOOKUP(A141,Sheet3!A:D,4,FALSE),IF(B141="Σύνολα",SUMIF(B$1:B$200,Sheet6!K140,J$1:J$200),""))</f>
        <v/>
      </c>
      <c r="K141" t="str">
        <f>IF(B141="Σύνολα",SUMIF(B$1:B$200,Sheet6!K140,K$1:K$200),IF(ISNUMBER(E141),IF(E141&gt;J141,ROUND((E141-J141),1),""),""))</f>
        <v/>
      </c>
      <c r="L141" s="6" t="str">
        <f>IF(ISNUMBER(Sheet4!J141),IF(AND(ISNUMBER(H141),H141&gt;0,I141&gt;0),ROUNDDOWN(H141/I141,0),""),"")</f>
        <v/>
      </c>
      <c r="M141" s="6" t="str">
        <f>IF(AND(ISNUMBER(Sheet4!J141),ISNUMBER(K141)),IF(I141&lt;0,ROUNDDOWN(K141/I141,0),""),"")</f>
        <v/>
      </c>
      <c r="N141" s="29" t="str">
        <f>IF(ISNUMBER(Sheet4!H141),Sheet4!H141/1000,"")</f>
        <v/>
      </c>
    </row>
    <row r="142" spans="1:14" ht="12.75" customHeight="1" x14ac:dyDescent="0.2">
      <c r="A142" t="str">
        <f>IF(OR(Sheet4!C142="?",ISNUMBER(Sheet4!C142)),Sheet4!A142,IF(B142="Σύνολα",B141,""))</f>
        <v/>
      </c>
      <c r="B142" s="94" t="str">
        <f>IF(OR(Sheet4!D142="?",ISNUMBER(Sheet4!D142)),MID(Sheet4!B142,4,20),IF(Sheet4!B142="________________","Σύνολα",IF(MID(Sheet4!B141,4,20)="Ballast","Σύνολα","")))</f>
        <v/>
      </c>
      <c r="C142" t="str">
        <f>IF(LEFT(A142,3)="TK-",VLOOKUP(A142,Sheet3!A:B,2,FALSE),IF(B142="Σύνολα",SUMIF(B$1:B$200,Sheet6!K141,C$1:C$200),""))</f>
        <v/>
      </c>
      <c r="D142" t="str">
        <f>IF(LEFT(A142,3)="TK-",VLOOKUP(A142,Sheet3!A:C,3,FALSE),"")</f>
        <v/>
      </c>
      <c r="E142" t="str">
        <f>IF(ISNUMBER(Sheet4!D142),ROUND(Sheet4!D142,1),IF(B142="Σύνολα",SUMIF(B$1:B$200,Sheet6!K141,E$1:E$200),""))</f>
        <v/>
      </c>
      <c r="F142" s="31" t="str">
        <f>IF(ISNUMBER(Sheet4!E142),Sheet4!E142,"")</f>
        <v/>
      </c>
      <c r="G142" t="str">
        <f>IF(ISNUMBER(Sheet4!G142),ROUND(Sheet4!G142,1),IF(B142="Σύνολα",SUMIF(B$1:B$200,Sheet6!K141,G$1:G$200),""))</f>
        <v/>
      </c>
      <c r="H142" t="str">
        <f>IF(ISNUMBER(Sheet4!F142),ROUND(Sheet4!F142,1),IF(B142="Σύνολα",SUMIF(B$1:B$200,Sheet6!K141,H$1:H$200),""))</f>
        <v/>
      </c>
      <c r="I142" t="str">
        <f>IF(ISNUMBER(Sheet4!J142),ROUND(Sheet4!J142,1),IF(B142="Σύνολα",SUMIF(B$1:B$200,Sheet6!K141,I$1:I$200),""))</f>
        <v/>
      </c>
      <c r="J142" t="str">
        <f>IF(LEFT(A142,3)="TK-",VLOOKUP(A142,Sheet3!A:D,4,FALSE),IF(B142="Σύνολα",SUMIF(B$1:B$200,Sheet6!K141,J$1:J$200),""))</f>
        <v/>
      </c>
      <c r="K142" t="str">
        <f>IF(B142="Σύνολα",SUMIF(B$1:B$200,Sheet6!K141,K$1:K$200),IF(ISNUMBER(E142),IF(E142&gt;J142,ROUND((E142-J142),1),""),""))</f>
        <v/>
      </c>
      <c r="L142" s="6" t="str">
        <f>IF(ISNUMBER(Sheet4!J142),IF(AND(ISNUMBER(H142),H142&gt;0,I142&gt;0),ROUNDDOWN(H142/I142,0),""),"")</f>
        <v/>
      </c>
      <c r="M142" s="6" t="str">
        <f>IF(AND(ISNUMBER(Sheet4!J142),ISNUMBER(K142)),IF(I142&lt;0,ROUNDDOWN(K142/I142,0),""),"")</f>
        <v/>
      </c>
      <c r="N142" s="29" t="str">
        <f>IF(ISNUMBER(Sheet4!H142),Sheet4!H142/1000,"")</f>
        <v/>
      </c>
    </row>
    <row r="143" spans="1:14" ht="12.75" customHeight="1" x14ac:dyDescent="0.2">
      <c r="A143" t="str">
        <f>IF(OR(Sheet4!C143="?",ISNUMBER(Sheet4!C143)),Sheet4!A143,IF(B143="Σύνολα",B142,""))</f>
        <v/>
      </c>
      <c r="B143" s="94" t="str">
        <f>IF(OR(Sheet4!D143="?",ISNUMBER(Sheet4!D143)),MID(Sheet4!B143,4,20),IF(Sheet4!B143="________________","Σύνολα",IF(MID(Sheet4!B142,4,20)="Ballast","Σύνολα","")))</f>
        <v/>
      </c>
      <c r="C143" t="str">
        <f>IF(LEFT(A143,3)="TK-",VLOOKUP(A143,Sheet3!A:B,2,FALSE),IF(B143="Σύνολα",SUMIF(B$1:B$200,Sheet6!K142,C$1:C$200),""))</f>
        <v/>
      </c>
      <c r="D143" t="str">
        <f>IF(LEFT(A143,3)="TK-",VLOOKUP(A143,Sheet3!A:C,3,FALSE),"")</f>
        <v/>
      </c>
      <c r="E143" t="str">
        <f>IF(ISNUMBER(Sheet4!D143),ROUND(Sheet4!D143,1),IF(B143="Σύνολα",SUMIF(B$1:B$200,Sheet6!K142,E$1:E$200),""))</f>
        <v/>
      </c>
      <c r="F143" s="31" t="str">
        <f>IF(ISNUMBER(Sheet4!E143),Sheet4!E143,"")</f>
        <v/>
      </c>
      <c r="G143" t="str">
        <f>IF(ISNUMBER(Sheet4!G143),ROUND(Sheet4!G143,1),IF(B143="Σύνολα",SUMIF(B$1:B$200,Sheet6!K142,G$1:G$200),""))</f>
        <v/>
      </c>
      <c r="H143" t="str">
        <f>IF(ISNUMBER(Sheet4!F143),ROUND(Sheet4!F143,1),IF(B143="Σύνολα",SUMIF(B$1:B$200,Sheet6!K142,H$1:H$200),""))</f>
        <v/>
      </c>
      <c r="I143" t="str">
        <f>IF(ISNUMBER(Sheet4!J143),ROUND(Sheet4!J143,1),IF(B143="Σύνολα",SUMIF(B$1:B$200,Sheet6!K142,I$1:I$200),""))</f>
        <v/>
      </c>
      <c r="J143" t="str">
        <f>IF(LEFT(A143,3)="TK-",VLOOKUP(A143,Sheet3!A:D,4,FALSE),IF(B143="Σύνολα",SUMIF(B$1:B$200,Sheet6!K142,J$1:J$200),""))</f>
        <v/>
      </c>
      <c r="K143" t="str">
        <f>IF(B143="Σύνολα",SUMIF(B$1:B$200,Sheet6!K142,K$1:K$200),IF(ISNUMBER(E143),IF(E143&gt;J143,ROUND((E143-J143),1),""),""))</f>
        <v/>
      </c>
      <c r="L143" s="6" t="str">
        <f>IF(ISNUMBER(Sheet4!J143),IF(AND(ISNUMBER(H143),H143&gt;0,I143&gt;0),ROUNDDOWN(H143/I143,0),""),"")</f>
        <v/>
      </c>
      <c r="M143" s="6" t="str">
        <f>IF(AND(ISNUMBER(Sheet4!J143),ISNUMBER(K143)),IF(I143&lt;0,ROUNDDOWN(K143/I143,0),""),"")</f>
        <v/>
      </c>
      <c r="N143" s="29" t="str">
        <f>IF(ISNUMBER(Sheet4!H143),Sheet4!H143/1000,"")</f>
        <v/>
      </c>
    </row>
    <row r="144" spans="1:14" ht="12.75" customHeight="1" x14ac:dyDescent="0.2">
      <c r="A144" t="str">
        <f>IF(OR(Sheet4!C144="?",ISNUMBER(Sheet4!C144)),Sheet4!A144,IF(B144="Σύνολα",B143,""))</f>
        <v/>
      </c>
      <c r="B144" s="94" t="str">
        <f>IF(OR(Sheet4!D144="?",ISNUMBER(Sheet4!D144)),MID(Sheet4!B144,4,20),IF(Sheet4!B144="________________","Σύνολα",IF(MID(Sheet4!B143,4,20)="Ballast","Σύνολα","")))</f>
        <v/>
      </c>
      <c r="C144" t="str">
        <f>IF(LEFT(A144,3)="TK-",VLOOKUP(A144,Sheet3!A:B,2,FALSE),IF(B144="Σύνολα",SUMIF(B$1:B$200,Sheet6!K143,C$1:C$200),""))</f>
        <v/>
      </c>
      <c r="D144" t="str">
        <f>IF(LEFT(A144,3)="TK-",VLOOKUP(A144,Sheet3!A:C,3,FALSE),"")</f>
        <v/>
      </c>
      <c r="E144" t="str">
        <f>IF(ISNUMBER(Sheet4!D144),ROUND(Sheet4!D144,1),IF(B144="Σύνολα",SUMIF(B$1:B$200,Sheet6!K143,E$1:E$200),""))</f>
        <v/>
      </c>
      <c r="F144" s="31" t="str">
        <f>IF(ISNUMBER(Sheet4!E144),Sheet4!E144,"")</f>
        <v/>
      </c>
      <c r="G144" t="str">
        <f>IF(ISNUMBER(Sheet4!G144),ROUND(Sheet4!G144,1),IF(B144="Σύνολα",SUMIF(B$1:B$200,Sheet6!K143,G$1:G$200),""))</f>
        <v/>
      </c>
      <c r="H144" t="str">
        <f>IF(ISNUMBER(Sheet4!F144),ROUND(Sheet4!F144,1),IF(B144="Σύνολα",SUMIF(B$1:B$200,Sheet6!K143,H$1:H$200),""))</f>
        <v/>
      </c>
      <c r="I144" t="str">
        <f>IF(ISNUMBER(Sheet4!J144),ROUND(Sheet4!J144,1),IF(B144="Σύνολα",SUMIF(B$1:B$200,Sheet6!K143,I$1:I$200),""))</f>
        <v/>
      </c>
      <c r="J144" t="str">
        <f>IF(LEFT(A144,3)="TK-",VLOOKUP(A144,Sheet3!A:D,4,FALSE),IF(B144="Σύνολα",SUMIF(B$1:B$200,Sheet6!K143,J$1:J$200),""))</f>
        <v/>
      </c>
      <c r="K144" t="str">
        <f>IF(B144="Σύνολα",SUMIF(B$1:B$200,Sheet6!K143,K$1:K$200),IF(ISNUMBER(E144),IF(E144&gt;J144,ROUND((E144-J144),1),""),""))</f>
        <v/>
      </c>
      <c r="L144" s="6" t="str">
        <f>IF(ISNUMBER(Sheet4!J144),IF(AND(ISNUMBER(H144),H144&gt;0,I144&gt;0),ROUNDDOWN(H144/I144,0),""),"")</f>
        <v/>
      </c>
      <c r="M144" s="6" t="str">
        <f>IF(AND(ISNUMBER(Sheet4!J144),ISNUMBER(K144)),IF(I144&lt;0,ROUNDDOWN(K144/I144,0),""),"")</f>
        <v/>
      </c>
      <c r="N144" s="29" t="str">
        <f>IF(ISNUMBER(Sheet4!H144),Sheet4!H144/1000,"")</f>
        <v/>
      </c>
    </row>
    <row r="145" spans="1:14" ht="12.75" customHeight="1" x14ac:dyDescent="0.2">
      <c r="A145" t="str">
        <f>IF(OR(Sheet4!C145="?",ISNUMBER(Sheet4!C145)),Sheet4!A145,IF(B145="Σύνολα",B144,""))</f>
        <v/>
      </c>
      <c r="B145" s="94" t="str">
        <f>IF(OR(Sheet4!D145="?",ISNUMBER(Sheet4!D145)),MID(Sheet4!B145,4,20),IF(Sheet4!B145="________________","Σύνολα",IF(MID(Sheet4!B144,4,20)="Ballast","Σύνολα","")))</f>
        <v/>
      </c>
      <c r="C145" t="str">
        <f>IF(LEFT(A145,3)="TK-",VLOOKUP(A145,Sheet3!A:B,2,FALSE),IF(B145="Σύνολα",SUMIF(B$1:B$200,Sheet6!K144,C$1:C$200),""))</f>
        <v/>
      </c>
      <c r="D145" t="str">
        <f>IF(LEFT(A145,3)="TK-",VLOOKUP(A145,Sheet3!A:C,3,FALSE),"")</f>
        <v/>
      </c>
      <c r="E145" t="str">
        <f>IF(ISNUMBER(Sheet4!D145),ROUND(Sheet4!D145,1),IF(B145="Σύνολα",SUMIF(B$1:B$200,Sheet6!K144,E$1:E$200),""))</f>
        <v/>
      </c>
      <c r="F145" s="31" t="str">
        <f>IF(ISNUMBER(Sheet4!E145),Sheet4!E145,"")</f>
        <v/>
      </c>
      <c r="G145" t="str">
        <f>IF(ISNUMBER(Sheet4!G145),ROUND(Sheet4!G145,1),IF(B145="Σύνολα",SUMIF(B$1:B$200,Sheet6!K144,G$1:G$200),""))</f>
        <v/>
      </c>
      <c r="H145" t="str">
        <f>IF(ISNUMBER(Sheet4!F145),ROUND(Sheet4!F145,1),IF(B145="Σύνολα",SUMIF(B$1:B$200,Sheet6!K144,H$1:H$200),""))</f>
        <v/>
      </c>
      <c r="I145" t="str">
        <f>IF(ISNUMBER(Sheet4!J145),ROUND(Sheet4!J145,1),IF(B145="Σύνολα",SUMIF(B$1:B$200,Sheet6!K144,I$1:I$200),""))</f>
        <v/>
      </c>
      <c r="J145" t="str">
        <f>IF(LEFT(A145,3)="TK-",VLOOKUP(A145,Sheet3!A:D,4,FALSE),IF(B145="Σύνολα",SUMIF(B$1:B$200,Sheet6!K144,J$1:J$200),""))</f>
        <v/>
      </c>
      <c r="K145" t="str">
        <f>IF(B145="Σύνολα",SUMIF(B$1:B$200,Sheet6!K144,K$1:K$200),IF(ISNUMBER(E145),IF(E145&gt;J145,ROUND((E145-J145),1),""),""))</f>
        <v/>
      </c>
      <c r="L145" s="6" t="str">
        <f>IF(ISNUMBER(Sheet4!J145),IF(AND(ISNUMBER(H145),H145&gt;0,I145&gt;0),ROUNDDOWN(H145/I145,0),""),"")</f>
        <v/>
      </c>
      <c r="M145" s="6" t="str">
        <f>IF(AND(ISNUMBER(Sheet4!J145),ISNUMBER(K145)),IF(I145&lt;0,ROUNDDOWN(K145/I145,0),""),"")</f>
        <v/>
      </c>
      <c r="N145" s="29" t="str">
        <f>IF(ISNUMBER(Sheet4!H145),Sheet4!H145/1000,"")</f>
        <v/>
      </c>
    </row>
    <row r="146" spans="1:14" ht="12.75" customHeight="1" x14ac:dyDescent="0.2">
      <c r="A146" t="str">
        <f>IF(OR(Sheet4!C146="?",ISNUMBER(Sheet4!C146)),Sheet4!A146,IF(B146="Σύνολα",B145,""))</f>
        <v/>
      </c>
      <c r="B146" s="94" t="str">
        <f>IF(OR(Sheet4!D146="?",ISNUMBER(Sheet4!D146)),MID(Sheet4!B146,4,20),IF(Sheet4!B146="________________","Σύνολα",IF(MID(Sheet4!B145,4,20)="Ballast","Σύνολα","")))</f>
        <v/>
      </c>
      <c r="C146" t="str">
        <f>IF(LEFT(A146,3)="TK-",VLOOKUP(A146,Sheet3!A:B,2,FALSE),IF(B146="Σύνολα",SUMIF(B$1:B$200,Sheet6!K145,C$1:C$200),""))</f>
        <v/>
      </c>
      <c r="D146" t="str">
        <f>IF(LEFT(A146,3)="TK-",VLOOKUP(A146,Sheet3!A:C,3,FALSE),"")</f>
        <v/>
      </c>
      <c r="E146" t="str">
        <f>IF(ISNUMBER(Sheet4!D146),ROUND(Sheet4!D146,1),IF(B146="Σύνολα",SUMIF(B$1:B$200,Sheet6!K145,E$1:E$200),""))</f>
        <v/>
      </c>
      <c r="F146" s="31" t="str">
        <f>IF(ISNUMBER(Sheet4!E146),Sheet4!E146,"")</f>
        <v/>
      </c>
      <c r="G146" t="str">
        <f>IF(ISNUMBER(Sheet4!G146),ROUND(Sheet4!G146,1),IF(B146="Σύνολα",SUMIF(B$1:B$200,Sheet6!K145,G$1:G$200),""))</f>
        <v/>
      </c>
      <c r="H146" t="str">
        <f>IF(ISNUMBER(Sheet4!F146),ROUND(Sheet4!F146,1),IF(B146="Σύνολα",SUMIF(B$1:B$200,Sheet6!K145,H$1:H$200),""))</f>
        <v/>
      </c>
      <c r="I146" t="str">
        <f>IF(ISNUMBER(Sheet4!J146),ROUND(Sheet4!J146,1),IF(B146="Σύνολα",SUMIF(B$1:B$200,Sheet6!K145,I$1:I$200),""))</f>
        <v/>
      </c>
      <c r="J146" t="str">
        <f>IF(LEFT(A146,3)="TK-",VLOOKUP(A146,Sheet3!A:D,4,FALSE),IF(B146="Σύνολα",SUMIF(B$1:B$200,Sheet6!K145,J$1:J$200),""))</f>
        <v/>
      </c>
      <c r="K146" t="str">
        <f>IF(B146="Σύνολα",SUMIF(B$1:B$200,Sheet6!K145,K$1:K$200),IF(ISNUMBER(E146),IF(E146&gt;J146,ROUND((E146-J146),1),""),""))</f>
        <v/>
      </c>
      <c r="L146" s="6" t="str">
        <f>IF(ISNUMBER(Sheet4!J146),IF(AND(ISNUMBER(H146),H146&gt;0,I146&gt;0),ROUNDDOWN(H146/I146,0),""),"")</f>
        <v/>
      </c>
      <c r="M146" s="6" t="str">
        <f>IF(AND(ISNUMBER(Sheet4!J146),ISNUMBER(K146)),IF(I146&lt;0,ROUNDDOWN(K146/I146,0),""),"")</f>
        <v/>
      </c>
      <c r="N146" s="29" t="str">
        <f>IF(ISNUMBER(Sheet4!H146),Sheet4!H146/1000,"")</f>
        <v/>
      </c>
    </row>
    <row r="147" spans="1:14" ht="12.75" customHeight="1" x14ac:dyDescent="0.2">
      <c r="A147" t="str">
        <f>IF(OR(Sheet4!C147="?",ISNUMBER(Sheet4!C147)),Sheet4!A147,IF(B147="Σύνολα",B146,""))</f>
        <v/>
      </c>
      <c r="B147" s="94" t="str">
        <f>IF(OR(Sheet4!D147="?",ISNUMBER(Sheet4!D147)),MID(Sheet4!B147,4,20),IF(Sheet4!B147="________________","Σύνολα",IF(MID(Sheet4!B146,4,20)="Ballast","Σύνολα","")))</f>
        <v/>
      </c>
      <c r="C147" t="str">
        <f>IF(LEFT(A147,3)="TK-",VLOOKUP(A147,Sheet3!A:B,2,FALSE),IF(B147="Σύνολα",SUMIF(B$1:B$200,Sheet6!K146,C$1:C$200),""))</f>
        <v/>
      </c>
      <c r="D147" t="str">
        <f>IF(LEFT(A147,3)="TK-",VLOOKUP(A147,Sheet3!A:C,3,FALSE),"")</f>
        <v/>
      </c>
      <c r="E147" t="str">
        <f>IF(ISNUMBER(Sheet4!D147),ROUND(Sheet4!D147,1),IF(B147="Σύνολα",SUMIF(B$1:B$200,Sheet6!K146,E$1:E$200),""))</f>
        <v/>
      </c>
      <c r="F147" s="31" t="str">
        <f>IF(ISNUMBER(Sheet4!E147),Sheet4!E147,"")</f>
        <v/>
      </c>
      <c r="G147" t="str">
        <f>IF(ISNUMBER(Sheet4!G147),ROUND(Sheet4!G147,1),IF(B147="Σύνολα",SUMIF(B$1:B$200,Sheet6!K146,G$1:G$200),""))</f>
        <v/>
      </c>
      <c r="H147" t="str">
        <f>IF(ISNUMBER(Sheet4!F147),ROUND(Sheet4!F147,1),IF(B147="Σύνολα",SUMIF(B$1:B$200,Sheet6!K146,H$1:H$200),""))</f>
        <v/>
      </c>
      <c r="I147" t="str">
        <f>IF(ISNUMBER(Sheet4!J147),ROUND(Sheet4!J147,1),IF(B147="Σύνολα",SUMIF(B$1:B$200,Sheet6!K146,I$1:I$200),""))</f>
        <v/>
      </c>
      <c r="J147" t="str">
        <f>IF(LEFT(A147,3)="TK-",VLOOKUP(A147,Sheet3!A:D,4,FALSE),IF(B147="Σύνολα",SUMIF(B$1:B$200,Sheet6!K146,J$1:J$200),""))</f>
        <v/>
      </c>
      <c r="K147" t="str">
        <f>IF(B147="Σύνολα",SUMIF(B$1:B$200,Sheet6!K146,K$1:K$200),IF(ISNUMBER(E147),IF(E147&gt;J147,ROUND((E147-J147),1),""),""))</f>
        <v/>
      </c>
      <c r="L147" s="6" t="str">
        <f>IF(ISNUMBER(Sheet4!J147),IF(AND(ISNUMBER(H147),H147&gt;0,I147&gt;0),ROUNDDOWN(H147/I147,0),""),"")</f>
        <v/>
      </c>
      <c r="M147" s="6" t="str">
        <f>IF(AND(ISNUMBER(Sheet4!J147),ISNUMBER(K147)),IF(I147&lt;0,ROUNDDOWN(K147/I147,0),""),"")</f>
        <v/>
      </c>
      <c r="N147" s="29" t="str">
        <f>IF(ISNUMBER(Sheet4!H147),Sheet4!H147/1000,"")</f>
        <v/>
      </c>
    </row>
    <row r="148" spans="1:14" ht="12.75" customHeight="1" x14ac:dyDescent="0.2">
      <c r="A148" t="str">
        <f>IF(OR(Sheet4!C148="?",ISNUMBER(Sheet4!C148)),Sheet4!A148,IF(B148="Σύνολα",B147,""))</f>
        <v/>
      </c>
      <c r="B148" s="94" t="str">
        <f>IF(OR(Sheet4!D148="?",ISNUMBER(Sheet4!D148)),MID(Sheet4!B148,4,20),IF(Sheet4!B148="________________","Σύνολα",IF(MID(Sheet4!B147,4,20)="Ballast","Σύνολα","")))</f>
        <v/>
      </c>
      <c r="C148" t="str">
        <f>IF(LEFT(A148,3)="TK-",VLOOKUP(A148,Sheet3!A:B,2,FALSE),IF(B148="Σύνολα",SUMIF(B$1:B$200,Sheet6!K147,C$1:C$200),""))</f>
        <v/>
      </c>
      <c r="D148" t="str">
        <f>IF(LEFT(A148,3)="TK-",VLOOKUP(A148,Sheet3!A:C,3,FALSE),"")</f>
        <v/>
      </c>
      <c r="E148" t="str">
        <f>IF(ISNUMBER(Sheet4!D148),ROUND(Sheet4!D148,1),IF(B148="Σύνολα",SUMIF(B$1:B$200,Sheet6!K147,E$1:E$200),""))</f>
        <v/>
      </c>
      <c r="F148" s="31" t="str">
        <f>IF(ISNUMBER(Sheet4!E148),Sheet4!E148,"")</f>
        <v/>
      </c>
      <c r="G148" t="str">
        <f>IF(ISNUMBER(Sheet4!G148),ROUND(Sheet4!G148,1),IF(B148="Σύνολα",SUMIF(B$1:B$200,Sheet6!K147,G$1:G$200),""))</f>
        <v/>
      </c>
      <c r="H148" t="str">
        <f>IF(ISNUMBER(Sheet4!F148),ROUND(Sheet4!F148,1),IF(B148="Σύνολα",SUMIF(B$1:B$200,Sheet6!K147,H$1:H$200),""))</f>
        <v/>
      </c>
      <c r="I148" t="str">
        <f>IF(ISNUMBER(Sheet4!J148),ROUND(Sheet4!J148,1),IF(B148="Σύνολα",SUMIF(B$1:B$200,Sheet6!K147,I$1:I$200),""))</f>
        <v/>
      </c>
      <c r="J148" t="str">
        <f>IF(LEFT(A148,3)="TK-",VLOOKUP(A148,Sheet3!A:D,4,FALSE),IF(B148="Σύνολα",SUMIF(B$1:B$200,Sheet6!K147,J$1:J$200),""))</f>
        <v/>
      </c>
      <c r="K148" t="str">
        <f>IF(B148="Σύνολα",SUMIF(B$1:B$200,Sheet6!K147,K$1:K$200),IF(ISNUMBER(E148),IF(E148&gt;J148,ROUND((E148-J148),1),""),""))</f>
        <v/>
      </c>
      <c r="L148" s="6" t="str">
        <f>IF(ISNUMBER(Sheet4!J148),IF(AND(ISNUMBER(H148),H148&gt;0,I148&gt;0),ROUNDDOWN(H148/I148,0),""),"")</f>
        <v/>
      </c>
      <c r="M148" s="6" t="str">
        <f>IF(AND(ISNUMBER(Sheet4!J148),ISNUMBER(K148)),IF(I148&lt;0,ROUNDDOWN(K148/I148,0),""),"")</f>
        <v/>
      </c>
      <c r="N148" s="29" t="str">
        <f>IF(ISNUMBER(Sheet4!H148),Sheet4!H148/1000,"")</f>
        <v/>
      </c>
    </row>
    <row r="149" spans="1:14" ht="12.75" customHeight="1" x14ac:dyDescent="0.2">
      <c r="A149" t="str">
        <f>IF(OR(Sheet4!C149="?",ISNUMBER(Sheet4!C149)),Sheet4!A149,IF(B149="Σύνολα",B148,""))</f>
        <v/>
      </c>
      <c r="B149" s="94" t="str">
        <f>IF(OR(Sheet4!D149="?",ISNUMBER(Sheet4!D149)),MID(Sheet4!B149,4,20),IF(Sheet4!B149="________________","Σύνολα",IF(MID(Sheet4!B148,4,20)="Ballast","Σύνολα","")))</f>
        <v/>
      </c>
      <c r="C149" t="str">
        <f>IF(LEFT(A149,3)="TK-",VLOOKUP(A149,Sheet3!A:B,2,FALSE),IF(B149="Σύνολα",SUMIF(B$1:B$200,Sheet6!K148,C$1:C$200),""))</f>
        <v/>
      </c>
      <c r="D149" t="str">
        <f>IF(LEFT(A149,3)="TK-",VLOOKUP(A149,Sheet3!A:C,3,FALSE),"")</f>
        <v/>
      </c>
      <c r="E149" t="str">
        <f>IF(ISNUMBER(Sheet4!D149),ROUND(Sheet4!D149,1),IF(B149="Σύνολα",SUMIF(B$1:B$200,Sheet6!K148,E$1:E$200),""))</f>
        <v/>
      </c>
      <c r="F149" s="31" t="str">
        <f>IF(ISNUMBER(Sheet4!E149),Sheet4!E149,"")</f>
        <v/>
      </c>
      <c r="G149" t="str">
        <f>IF(ISNUMBER(Sheet4!G149),ROUND(Sheet4!G149,1),IF(B149="Σύνολα",SUMIF(B$1:B$200,Sheet6!K148,G$1:G$200),""))</f>
        <v/>
      </c>
      <c r="H149" t="str">
        <f>IF(ISNUMBER(Sheet4!F149),ROUND(Sheet4!F149,1),IF(B149="Σύνολα",SUMIF(B$1:B$200,Sheet6!K148,H$1:H$200),""))</f>
        <v/>
      </c>
      <c r="I149" t="str">
        <f>IF(ISNUMBER(Sheet4!J149),ROUND(Sheet4!J149,1),IF(B149="Σύνολα",SUMIF(B$1:B$200,Sheet6!K148,I$1:I$200),""))</f>
        <v/>
      </c>
      <c r="J149" t="str">
        <f>IF(LEFT(A149,3)="TK-",VLOOKUP(A149,Sheet3!A:D,4,FALSE),IF(B149="Σύνολα",SUMIF(B$1:B$200,Sheet6!K148,J$1:J$200),""))</f>
        <v/>
      </c>
      <c r="K149" t="str">
        <f>IF(B149="Σύνολα",SUMIF(B$1:B$200,Sheet6!K148,K$1:K$200),IF(ISNUMBER(E149),IF(E149&gt;J149,ROUND((E149-J149),1),""),""))</f>
        <v/>
      </c>
      <c r="L149" s="6" t="str">
        <f>IF(ISNUMBER(Sheet4!J149),IF(AND(ISNUMBER(H149),H149&gt;0,I149&gt;0),ROUNDDOWN(H149/I149,0),""),"")</f>
        <v/>
      </c>
      <c r="M149" s="6" t="str">
        <f>IF(AND(ISNUMBER(Sheet4!J149),ISNUMBER(K149)),IF(I149&lt;0,ROUNDDOWN(K149/I149,0),""),"")</f>
        <v/>
      </c>
      <c r="N149" s="29" t="str">
        <f>IF(ISNUMBER(Sheet4!H149),Sheet4!H149/1000,"")</f>
        <v/>
      </c>
    </row>
    <row r="150" spans="1:14" ht="12.75" customHeight="1" x14ac:dyDescent="0.2">
      <c r="A150" t="str">
        <f>IF(OR(Sheet4!C150="?",ISNUMBER(Sheet4!C150)),Sheet4!A150,IF(B150="Σύνολα",B149,""))</f>
        <v/>
      </c>
      <c r="B150" s="94" t="str">
        <f>IF(OR(Sheet4!D150="?",ISNUMBER(Sheet4!D150)),MID(Sheet4!B150,4,20),IF(Sheet4!B150="________________","Σύνολα",IF(MID(Sheet4!B149,4,20)="Ballast","Σύνολα","")))</f>
        <v/>
      </c>
      <c r="C150" t="str">
        <f>IF(LEFT(A150,3)="TK-",VLOOKUP(A150,Sheet3!A:B,2,FALSE),IF(B150="Σύνολα",SUMIF(B$1:B$200,Sheet6!K149,C$1:C$200),""))</f>
        <v/>
      </c>
      <c r="D150" t="str">
        <f>IF(LEFT(A150,3)="TK-",VLOOKUP(A150,Sheet3!A:C,3,FALSE),"")</f>
        <v/>
      </c>
      <c r="E150" t="str">
        <f>IF(ISNUMBER(Sheet4!D150),ROUND(Sheet4!D150,1),IF(B150="Σύνολα",SUMIF(B$1:B$200,Sheet6!K149,E$1:E$200),""))</f>
        <v/>
      </c>
      <c r="F150" s="31" t="str">
        <f>IF(ISNUMBER(Sheet4!E150),Sheet4!E150,"")</f>
        <v/>
      </c>
      <c r="G150" t="str">
        <f>IF(ISNUMBER(Sheet4!G150),ROUND(Sheet4!G150,1),IF(B150="Σύνολα",SUMIF(B$1:B$200,Sheet6!K149,G$1:G$200),""))</f>
        <v/>
      </c>
      <c r="H150" t="str">
        <f>IF(ISNUMBER(Sheet4!F150),ROUND(Sheet4!F150,1),IF(B150="Σύνολα",SUMIF(B$1:B$200,Sheet6!K149,H$1:H$200),""))</f>
        <v/>
      </c>
      <c r="I150" t="str">
        <f>IF(ISNUMBER(Sheet4!J150),ROUND(Sheet4!J150,1),IF(B150="Σύνολα",SUMIF(B$1:B$200,Sheet6!K149,I$1:I$200),""))</f>
        <v/>
      </c>
      <c r="J150" t="str">
        <f>IF(LEFT(A150,3)="TK-",VLOOKUP(A150,Sheet3!A:D,4,FALSE),IF(B150="Σύνολα",SUMIF(B$1:B$200,Sheet6!K149,J$1:J$200),""))</f>
        <v/>
      </c>
      <c r="K150" t="str">
        <f>IF(B150="Σύνολα",SUMIF(B$1:B$200,Sheet6!K149,K$1:K$200),IF(ISNUMBER(E150),IF(E150&gt;J150,ROUND((E150-J150),1),""),""))</f>
        <v/>
      </c>
      <c r="L150" s="6" t="str">
        <f>IF(ISNUMBER(Sheet4!J150),IF(AND(ISNUMBER(H150),H150&gt;0,I150&gt;0),ROUNDDOWN(H150/I150,0),""),"")</f>
        <v/>
      </c>
      <c r="M150" s="6" t="str">
        <f>IF(AND(ISNUMBER(Sheet4!J150),ISNUMBER(K150)),IF(I150&lt;0,ROUNDDOWN(K150/I150,0),""),"")</f>
        <v/>
      </c>
      <c r="N150" s="29" t="str">
        <f>IF(ISNUMBER(Sheet4!H150),Sheet4!H150/1000,"")</f>
        <v/>
      </c>
    </row>
    <row r="151" spans="1:14" ht="12.75" customHeight="1" x14ac:dyDescent="0.2">
      <c r="A151" t="str">
        <f>IF(OR(Sheet4!C151="?",ISNUMBER(Sheet4!C151)),Sheet4!A151,IF(B151="Σύνολα",B150,""))</f>
        <v/>
      </c>
      <c r="B151" s="94" t="str">
        <f>IF(OR(Sheet4!D151="?",ISNUMBER(Sheet4!D151)),MID(Sheet4!B151,4,20),IF(Sheet4!B151="________________","Σύνολα",IF(MID(Sheet4!B150,4,20)="Ballast","Σύνολα","")))</f>
        <v/>
      </c>
      <c r="C151" t="str">
        <f>IF(LEFT(A151,3)="TK-",VLOOKUP(A151,Sheet3!A:B,2,FALSE),IF(B151="Σύνολα",SUMIF(B$1:B$200,Sheet6!K150,C$1:C$200),""))</f>
        <v/>
      </c>
      <c r="D151" t="str">
        <f>IF(LEFT(A151,3)="TK-",VLOOKUP(A151,Sheet3!A:C,3,FALSE),"")</f>
        <v/>
      </c>
      <c r="E151" t="str">
        <f>IF(ISNUMBER(Sheet4!D151),ROUND(Sheet4!D151,1),IF(B151="Σύνολα",SUMIF(B$1:B$200,Sheet6!K150,E$1:E$200),""))</f>
        <v/>
      </c>
      <c r="F151" s="31" t="str">
        <f>IF(ISNUMBER(Sheet4!E151),Sheet4!E151,"")</f>
        <v/>
      </c>
      <c r="G151" t="str">
        <f>IF(ISNUMBER(Sheet4!G151),ROUND(Sheet4!G151,1),IF(B151="Σύνολα",SUMIF(B$1:B$200,Sheet6!K150,G$1:G$200),""))</f>
        <v/>
      </c>
      <c r="H151" t="str">
        <f>IF(ISNUMBER(Sheet4!F151),ROUND(Sheet4!F151,1),IF(B151="Σύνολα",SUMIF(B$1:B$200,Sheet6!K150,H$1:H$200),""))</f>
        <v/>
      </c>
      <c r="I151" t="str">
        <f>IF(ISNUMBER(Sheet4!J151),ROUND(Sheet4!J151,1),IF(B151="Σύνολα",SUMIF(B$1:B$200,Sheet6!K150,I$1:I$200),""))</f>
        <v/>
      </c>
      <c r="J151" t="str">
        <f>IF(LEFT(A151,3)="TK-",VLOOKUP(A151,Sheet3!A:D,4,FALSE),IF(B151="Σύνολα",SUMIF(B$1:B$200,Sheet6!K150,J$1:J$200),""))</f>
        <v/>
      </c>
      <c r="K151" t="str">
        <f>IF(B151="Σύνολα",SUMIF(B$1:B$200,Sheet6!K150,K$1:K$200),IF(ISNUMBER(E151),IF(E151&gt;J151,ROUND((E151-J151),1),""),""))</f>
        <v/>
      </c>
      <c r="L151" s="6" t="str">
        <f>IF(ISNUMBER(Sheet4!J151),IF(AND(ISNUMBER(H151),H151&gt;0,I151&gt;0),ROUNDDOWN(H151/I151,0),""),"")</f>
        <v/>
      </c>
      <c r="M151" s="6" t="str">
        <f>IF(AND(ISNUMBER(Sheet4!J151),ISNUMBER(K151)),IF(I151&lt;0,ROUNDDOWN(K151/I151,0),""),"")</f>
        <v/>
      </c>
      <c r="N151" s="29" t="str">
        <f>IF(ISNUMBER(Sheet4!H151),Sheet4!H151/1000,"")</f>
        <v/>
      </c>
    </row>
    <row r="152" spans="1:14" ht="12.75" customHeight="1" x14ac:dyDescent="0.2">
      <c r="A152" t="str">
        <f>IF(OR(Sheet4!C152="?",ISNUMBER(Sheet4!C152)),Sheet4!A152,IF(B152="Σύνολα",B151,""))</f>
        <v/>
      </c>
      <c r="B152" s="94" t="str">
        <f>IF(OR(Sheet4!D152="?",ISNUMBER(Sheet4!D152)),MID(Sheet4!B152,4,20),IF(Sheet4!B152="________________","Σύνολα",IF(MID(Sheet4!B151,4,20)="Ballast","Σύνολα","")))</f>
        <v/>
      </c>
      <c r="C152" t="str">
        <f>IF(LEFT(A152,3)="TK-",VLOOKUP(A152,Sheet3!A:B,2,FALSE),IF(B152="Σύνολα",SUMIF(B$1:B$200,Sheet6!K151,C$1:C$200),""))</f>
        <v/>
      </c>
      <c r="D152" t="str">
        <f>IF(LEFT(A152,3)="TK-",VLOOKUP(A152,Sheet3!A:C,3,FALSE),"")</f>
        <v/>
      </c>
      <c r="E152" t="str">
        <f>IF(ISNUMBER(Sheet4!D152),ROUND(Sheet4!D152,1),IF(B152="Σύνολα",SUMIF(B$1:B$200,Sheet6!K151,E$1:E$200),""))</f>
        <v/>
      </c>
      <c r="F152" s="31" t="str">
        <f>IF(ISNUMBER(Sheet4!E152),Sheet4!E152,"")</f>
        <v/>
      </c>
      <c r="G152" t="str">
        <f>IF(ISNUMBER(Sheet4!G152),ROUND(Sheet4!G152,1),IF(B152="Σύνολα",SUMIF(B$1:B$200,Sheet6!K151,G$1:G$200),""))</f>
        <v/>
      </c>
      <c r="H152" t="str">
        <f>IF(ISNUMBER(Sheet4!F152),ROUND(Sheet4!F152,1),IF(B152="Σύνολα",SUMIF(B$1:B$200,Sheet6!K151,H$1:H$200),""))</f>
        <v/>
      </c>
      <c r="I152" t="str">
        <f>IF(ISNUMBER(Sheet4!J152),ROUND(Sheet4!J152,1),IF(B152="Σύνολα",SUMIF(B$1:B$200,Sheet6!K151,I$1:I$200),""))</f>
        <v/>
      </c>
      <c r="J152" t="str">
        <f>IF(LEFT(A152,3)="TK-",VLOOKUP(A152,Sheet3!A:D,4,FALSE),IF(B152="Σύνολα",SUMIF(B$1:B$200,Sheet6!K151,J$1:J$200),""))</f>
        <v/>
      </c>
      <c r="K152" t="str">
        <f>IF(B152="Σύνολα",SUMIF(B$1:B$200,Sheet6!K151,K$1:K$200),IF(ISNUMBER(E152),IF(E152&gt;J152,ROUND((E152-J152),1),""),""))</f>
        <v/>
      </c>
      <c r="L152" s="6" t="str">
        <f>IF(ISNUMBER(Sheet4!J152),IF(AND(ISNUMBER(H152),H152&gt;0,I152&gt;0),ROUNDDOWN(H152/I152,0),""),"")</f>
        <v/>
      </c>
      <c r="M152" s="6" t="str">
        <f>IF(AND(ISNUMBER(Sheet4!J152),ISNUMBER(K152)),IF(I152&lt;0,ROUNDDOWN(K152/I152,0),""),"")</f>
        <v/>
      </c>
      <c r="N152" s="29" t="str">
        <f>IF(ISNUMBER(Sheet4!H152),Sheet4!H152/1000,"")</f>
        <v/>
      </c>
    </row>
    <row r="153" spans="1:14" ht="12.75" customHeight="1" x14ac:dyDescent="0.2">
      <c r="A153" t="str">
        <f>IF(OR(Sheet4!C153="?",ISNUMBER(Sheet4!C153)),Sheet4!A153,IF(B153="Σύνολα",B152,""))</f>
        <v/>
      </c>
      <c r="B153" s="94" t="str">
        <f>IF(OR(Sheet4!D153="?",ISNUMBER(Sheet4!D153)),MID(Sheet4!B153,4,20),IF(Sheet4!B153="________________","Σύνολα",IF(MID(Sheet4!B152,4,20)="Ballast","Σύνολα","")))</f>
        <v/>
      </c>
      <c r="C153" t="str">
        <f>IF(LEFT(A153,3)="TK-",VLOOKUP(A153,Sheet3!A:B,2,FALSE),IF(B153="Σύνολα",SUMIF(B$1:B$200,Sheet6!K152,C$1:C$200),""))</f>
        <v/>
      </c>
      <c r="D153" t="str">
        <f>IF(LEFT(A153,3)="TK-",VLOOKUP(A153,Sheet3!A:C,3,FALSE),"")</f>
        <v/>
      </c>
      <c r="E153" t="str">
        <f>IF(ISNUMBER(Sheet4!D153),ROUND(Sheet4!D153,1),IF(B153="Σύνολα",SUMIF(B$1:B$200,Sheet6!K152,E$1:E$200),""))</f>
        <v/>
      </c>
      <c r="F153" s="31" t="str">
        <f>IF(ISNUMBER(Sheet4!E153),Sheet4!E153,"")</f>
        <v/>
      </c>
      <c r="G153" t="str">
        <f>IF(ISNUMBER(Sheet4!G153),ROUND(Sheet4!G153,1),IF(B153="Σύνολα",SUMIF(B$1:B$200,Sheet6!K152,G$1:G$200),""))</f>
        <v/>
      </c>
      <c r="H153" t="str">
        <f>IF(ISNUMBER(Sheet4!F153),ROUND(Sheet4!F153,1),IF(B153="Σύνολα",SUMIF(B$1:B$200,Sheet6!K152,H$1:H$200),""))</f>
        <v/>
      </c>
      <c r="I153" t="str">
        <f>IF(ISNUMBER(Sheet4!J153),ROUND(Sheet4!J153,1),IF(B153="Σύνολα",SUMIF(B$1:B$200,Sheet6!K152,I$1:I$200),""))</f>
        <v/>
      </c>
      <c r="J153" t="str">
        <f>IF(LEFT(A153,3)="TK-",VLOOKUP(A153,Sheet3!A:D,4,FALSE),IF(B153="Σύνολα",SUMIF(B$1:B$200,Sheet6!K152,J$1:J$200),""))</f>
        <v/>
      </c>
      <c r="K153" t="str">
        <f>IF(B153="Σύνολα",SUMIF(B$1:B$200,Sheet6!K152,K$1:K$200),IF(ISNUMBER(E153),IF(E153&gt;J153,ROUND((E153-J153),1),""),""))</f>
        <v/>
      </c>
      <c r="L153" s="6" t="str">
        <f>IF(ISNUMBER(Sheet4!J153),IF(AND(ISNUMBER(H153),H153&gt;0,I153&gt;0),ROUNDDOWN(H153/I153,0),""),"")</f>
        <v/>
      </c>
      <c r="M153" s="6" t="str">
        <f>IF(AND(ISNUMBER(Sheet4!J153),ISNUMBER(K153)),IF(I153&lt;0,ROUNDDOWN(K153/I153,0),""),"")</f>
        <v/>
      </c>
      <c r="N153" s="29" t="str">
        <f>IF(ISNUMBER(Sheet4!H153),Sheet4!H153/1000,"")</f>
        <v/>
      </c>
    </row>
    <row r="154" spans="1:14" ht="12.75" customHeight="1" x14ac:dyDescent="0.2">
      <c r="A154" t="str">
        <f>IF(OR(Sheet4!C154="?",ISNUMBER(Sheet4!C154)),Sheet4!A154,IF(B154="Σύνολα",B153,""))</f>
        <v/>
      </c>
      <c r="B154" s="94" t="str">
        <f>IF(OR(Sheet4!D154="?",ISNUMBER(Sheet4!D154)),MID(Sheet4!B154,4,20),IF(Sheet4!B154="________________","Σύνολα",IF(MID(Sheet4!B153,4,20)="Ballast","Σύνολα","")))</f>
        <v/>
      </c>
      <c r="C154" t="str">
        <f>IF(LEFT(A154,3)="TK-",VLOOKUP(A154,Sheet3!A:B,2,FALSE),IF(B154="Σύνολα",SUMIF(B$1:B$200,Sheet6!K153,C$1:C$200),""))</f>
        <v/>
      </c>
      <c r="D154" t="str">
        <f>IF(LEFT(A154,3)="TK-",VLOOKUP(A154,Sheet3!A:C,3,FALSE),"")</f>
        <v/>
      </c>
      <c r="E154" t="str">
        <f>IF(ISNUMBER(Sheet4!D154),ROUND(Sheet4!D154,1),IF(B154="Σύνολα",SUMIF(B$1:B$200,Sheet6!K153,E$1:E$200),""))</f>
        <v/>
      </c>
      <c r="F154" s="31" t="str">
        <f>IF(ISNUMBER(Sheet4!E154),Sheet4!E154,"")</f>
        <v/>
      </c>
      <c r="G154" t="str">
        <f>IF(ISNUMBER(Sheet4!G154),ROUND(Sheet4!G154,1),IF(B154="Σύνολα",SUMIF(B$1:B$200,Sheet6!K153,G$1:G$200),""))</f>
        <v/>
      </c>
      <c r="H154" t="str">
        <f>IF(ISNUMBER(Sheet4!F154),ROUND(Sheet4!F154,1),IF(B154="Σύνολα",SUMIF(B$1:B$200,Sheet6!K153,H$1:H$200),""))</f>
        <v/>
      </c>
      <c r="I154" t="str">
        <f>IF(ISNUMBER(Sheet4!J154),ROUND(Sheet4!J154,1),IF(B154="Σύνολα",SUMIF(B$1:B$200,Sheet6!K153,I$1:I$200),""))</f>
        <v/>
      </c>
      <c r="J154" t="str">
        <f>IF(LEFT(A154,3)="TK-",VLOOKUP(A154,Sheet3!A:D,4,FALSE),IF(B154="Σύνολα",SUMIF(B$1:B$200,Sheet6!K153,J$1:J$200),""))</f>
        <v/>
      </c>
      <c r="K154" t="str">
        <f>IF(B154="Σύνολα",SUMIF(B$1:B$200,Sheet6!K153,K$1:K$200),IF(ISNUMBER(E154),IF(E154&gt;J154,ROUND((E154-J154),1),""),""))</f>
        <v/>
      </c>
      <c r="L154" s="6" t="str">
        <f>IF(ISNUMBER(Sheet4!J154),IF(AND(ISNUMBER(H154),H154&gt;0,I154&gt;0),ROUNDDOWN(H154/I154,0),""),"")</f>
        <v/>
      </c>
      <c r="M154" s="6" t="str">
        <f>IF(AND(ISNUMBER(Sheet4!J154),ISNUMBER(K154)),IF(I154&lt;0,ROUNDDOWN(K154/I154,0),""),"")</f>
        <v/>
      </c>
      <c r="N154" s="29" t="str">
        <f>IF(ISNUMBER(Sheet4!H154),Sheet4!H154/1000,"")</f>
        <v/>
      </c>
    </row>
    <row r="155" spans="1:14" ht="12.75" customHeight="1" x14ac:dyDescent="0.2">
      <c r="A155" t="str">
        <f>IF(OR(Sheet4!C155="?",ISNUMBER(Sheet4!C155)),Sheet4!A155,IF(B155="Σύνολα",B154,""))</f>
        <v/>
      </c>
      <c r="B155" s="94" t="str">
        <f>IF(OR(Sheet4!D155="?",ISNUMBER(Sheet4!D155)),MID(Sheet4!B155,4,20),IF(Sheet4!B155="________________","Σύνολα",IF(MID(Sheet4!B154,4,20)="Ballast","Σύνολα","")))</f>
        <v/>
      </c>
      <c r="C155" t="str">
        <f>IF(LEFT(A155,3)="TK-",VLOOKUP(A155,Sheet3!A:B,2,FALSE),IF(B155="Σύνολα",SUMIF(B$1:B$200,Sheet6!K154,C$1:C$200),""))</f>
        <v/>
      </c>
      <c r="D155" t="str">
        <f>IF(LEFT(A155,3)="TK-",VLOOKUP(A155,Sheet3!A:C,3,FALSE),"")</f>
        <v/>
      </c>
      <c r="E155" t="str">
        <f>IF(ISNUMBER(Sheet4!D155),ROUND(Sheet4!D155,1),IF(B155="Σύνολα",SUMIF(B$1:B$200,Sheet6!K154,E$1:E$200),""))</f>
        <v/>
      </c>
      <c r="F155" s="31" t="str">
        <f>IF(ISNUMBER(Sheet4!E155),Sheet4!E155,"")</f>
        <v/>
      </c>
      <c r="G155" t="str">
        <f>IF(ISNUMBER(Sheet4!G155),ROUND(Sheet4!G155,1),IF(B155="Σύνολα",SUMIF(B$1:B$200,Sheet6!K154,G$1:G$200),""))</f>
        <v/>
      </c>
      <c r="H155" t="str">
        <f>IF(ISNUMBER(Sheet4!F155),ROUND(Sheet4!F155,1),IF(B155="Σύνολα",SUMIF(B$1:B$200,Sheet6!K154,H$1:H$200),""))</f>
        <v/>
      </c>
      <c r="I155" t="str">
        <f>IF(ISNUMBER(Sheet4!J155),ROUND(Sheet4!J155,1),IF(B155="Σύνολα",SUMIF(B$1:B$200,Sheet6!K154,I$1:I$200),""))</f>
        <v/>
      </c>
      <c r="J155" t="str">
        <f>IF(LEFT(A155,3)="TK-",VLOOKUP(A155,Sheet3!A:D,4,FALSE),IF(B155="Σύνολα",SUMIF(B$1:B$200,Sheet6!K154,J$1:J$200),""))</f>
        <v/>
      </c>
      <c r="K155" t="str">
        <f>IF(B155="Σύνολα",SUMIF(B$1:B$200,Sheet6!K154,K$1:K$200),IF(ISNUMBER(E155),IF(E155&gt;J155,ROUND((E155-J155),1),""),""))</f>
        <v/>
      </c>
      <c r="L155" s="6" t="str">
        <f>IF(ISNUMBER(Sheet4!J155),IF(AND(ISNUMBER(H155),H155&gt;0,I155&gt;0),ROUNDDOWN(H155/I155,0),""),"")</f>
        <v/>
      </c>
      <c r="M155" s="6" t="str">
        <f>IF(AND(ISNUMBER(Sheet4!J155),ISNUMBER(K155)),IF(I155&lt;0,ROUNDDOWN(K155/I155,0),""),"")</f>
        <v/>
      </c>
      <c r="N155" s="29" t="str">
        <f>IF(ISNUMBER(Sheet4!H155),Sheet4!H155/1000,"")</f>
        <v/>
      </c>
    </row>
    <row r="156" spans="1:14" ht="12.75" customHeight="1" x14ac:dyDescent="0.2">
      <c r="A156" t="str">
        <f>IF(OR(Sheet4!C156="?",ISNUMBER(Sheet4!C156)),Sheet4!A156,IF(B156="Σύνολα",B155,""))</f>
        <v/>
      </c>
      <c r="B156" s="94" t="str">
        <f>IF(OR(Sheet4!D156="?",ISNUMBER(Sheet4!D156)),MID(Sheet4!B156,4,20),IF(Sheet4!B156="________________","Σύνολα",IF(MID(Sheet4!B155,4,20)="Ballast","Σύνολα","")))</f>
        <v/>
      </c>
      <c r="C156" t="str">
        <f>IF(LEFT(A156,3)="TK-",VLOOKUP(A156,Sheet3!A:B,2,FALSE),IF(B156="Σύνολα",SUMIF(B$1:B$200,Sheet6!K155,C$1:C$200),""))</f>
        <v/>
      </c>
      <c r="D156" t="str">
        <f>IF(LEFT(A156,3)="TK-",VLOOKUP(A156,Sheet3!A:C,3,FALSE),"")</f>
        <v/>
      </c>
      <c r="E156" t="str">
        <f>IF(ISNUMBER(Sheet4!D156),ROUND(Sheet4!D156,1),IF(B156="Σύνολα",SUMIF(B$1:B$200,Sheet6!K155,E$1:E$200),""))</f>
        <v/>
      </c>
      <c r="F156" s="31" t="str">
        <f>IF(ISNUMBER(Sheet4!E156),Sheet4!E156,"")</f>
        <v/>
      </c>
      <c r="G156" t="str">
        <f>IF(ISNUMBER(Sheet4!G156),ROUND(Sheet4!G156,1),IF(B156="Σύνολα",SUMIF(B$1:B$200,Sheet6!K155,G$1:G$200),""))</f>
        <v/>
      </c>
      <c r="H156" t="str">
        <f>IF(ISNUMBER(Sheet4!F156),ROUND(Sheet4!F156,1),IF(B156="Σύνολα",SUMIF(B$1:B$200,Sheet6!K155,H$1:H$200),""))</f>
        <v/>
      </c>
      <c r="I156" t="str">
        <f>IF(ISNUMBER(Sheet4!J156),ROUND(Sheet4!J156,1),IF(B156="Σύνολα",SUMIF(B$1:B$200,Sheet6!K155,I$1:I$200),""))</f>
        <v/>
      </c>
      <c r="J156" t="str">
        <f>IF(LEFT(A156,3)="TK-",VLOOKUP(A156,Sheet3!A:D,4,FALSE),IF(B156="Σύνολα",SUMIF(B$1:B$200,Sheet6!K155,J$1:J$200),""))</f>
        <v/>
      </c>
      <c r="K156" t="str">
        <f>IF(B156="Σύνολα",SUMIF(B$1:B$200,Sheet6!K155,K$1:K$200),IF(ISNUMBER(E156),IF(E156&gt;J156,ROUND((E156-J156),1),""),""))</f>
        <v/>
      </c>
      <c r="L156" s="6" t="str">
        <f>IF(ISNUMBER(Sheet4!J156),IF(AND(ISNUMBER(H156),H156&gt;0,I156&gt;0),ROUNDDOWN(H156/I156,0),""),"")</f>
        <v/>
      </c>
      <c r="M156" s="6" t="str">
        <f>IF(AND(ISNUMBER(Sheet4!J156),ISNUMBER(K156)),IF(I156&lt;0,ROUNDDOWN(K156/I156,0),""),"")</f>
        <v/>
      </c>
      <c r="N156" s="29" t="str">
        <f>IF(ISNUMBER(Sheet4!H156),Sheet4!H156/1000,"")</f>
        <v/>
      </c>
    </row>
    <row r="157" spans="1:14" ht="12.75" customHeight="1" x14ac:dyDescent="0.2">
      <c r="A157" t="str">
        <f>IF(OR(Sheet4!C157="?",ISNUMBER(Sheet4!C157)),Sheet4!A157,IF(B157="Σύνολα",B156,""))</f>
        <v/>
      </c>
      <c r="B157" s="94" t="str">
        <f>IF(OR(Sheet4!D157="?",ISNUMBER(Sheet4!D157)),MID(Sheet4!B157,4,20),IF(Sheet4!B157="________________","Σύνολα",IF(MID(Sheet4!B156,4,20)="Ballast","Σύνολα","")))</f>
        <v/>
      </c>
      <c r="C157" t="str">
        <f>IF(LEFT(A157,3)="TK-",VLOOKUP(A157,Sheet3!A:B,2,FALSE),IF(B157="Σύνολα",SUMIF(B$1:B$200,Sheet6!K156,C$1:C$200),""))</f>
        <v/>
      </c>
      <c r="D157" t="str">
        <f>IF(LEFT(A157,3)="TK-",VLOOKUP(A157,Sheet3!A:C,3,FALSE),"")</f>
        <v/>
      </c>
      <c r="E157" t="str">
        <f>IF(ISNUMBER(Sheet4!D157),ROUND(Sheet4!D157,1),IF(B157="Σύνολα",SUMIF(B$1:B$200,Sheet6!K156,E$1:E$200),""))</f>
        <v/>
      </c>
      <c r="F157" s="31" t="str">
        <f>IF(ISNUMBER(Sheet4!E157),Sheet4!E157,"")</f>
        <v/>
      </c>
      <c r="G157" t="str">
        <f>IF(ISNUMBER(Sheet4!G157),ROUND(Sheet4!G157,1),IF(B157="Σύνολα",SUMIF(B$1:B$200,Sheet6!K156,G$1:G$200),""))</f>
        <v/>
      </c>
      <c r="H157" t="str">
        <f>IF(ISNUMBER(Sheet4!F157),ROUND(Sheet4!F157,1),IF(B157="Σύνολα",SUMIF(B$1:B$200,Sheet6!K156,H$1:H$200),""))</f>
        <v/>
      </c>
      <c r="I157" t="str">
        <f>IF(ISNUMBER(Sheet4!J157),ROUND(Sheet4!J157,1),IF(B157="Σύνολα",SUMIF(B$1:B$200,Sheet6!K156,I$1:I$200),""))</f>
        <v/>
      </c>
      <c r="J157" t="str">
        <f>IF(LEFT(A157,3)="TK-",VLOOKUP(A157,Sheet3!A:D,4,FALSE),IF(B157="Σύνολα",SUMIF(B$1:B$200,Sheet6!K156,J$1:J$200),""))</f>
        <v/>
      </c>
      <c r="K157" t="str">
        <f>IF(B157="Σύνολα",SUMIF(B$1:B$200,Sheet6!K156,K$1:K$200),IF(ISNUMBER(E157),IF(E157&gt;J157,ROUND((E157-J157),1),""),""))</f>
        <v/>
      </c>
      <c r="L157" s="6" t="str">
        <f>IF(ISNUMBER(Sheet4!J157),IF(AND(ISNUMBER(H157),H157&gt;0,I157&gt;0),ROUNDDOWN(H157/I157,0),""),"")</f>
        <v/>
      </c>
      <c r="M157" s="6" t="str">
        <f>IF(AND(ISNUMBER(Sheet4!J157),ISNUMBER(K157)),IF(I157&lt;0,ROUNDDOWN(K157/I157,0),""),"")</f>
        <v/>
      </c>
      <c r="N157" s="29" t="str">
        <f>IF(ISNUMBER(Sheet4!H157),Sheet4!H157/1000,"")</f>
        <v/>
      </c>
    </row>
    <row r="158" spans="1:14" ht="12.75" customHeight="1" x14ac:dyDescent="0.2">
      <c r="A158" t="str">
        <f>IF(OR(Sheet4!C158="?",ISNUMBER(Sheet4!C158)),Sheet4!A158,IF(B158="Σύνολα",B157,""))</f>
        <v/>
      </c>
      <c r="B158" s="94" t="str">
        <f>IF(OR(Sheet4!D158="?",ISNUMBER(Sheet4!D158)),MID(Sheet4!B158,4,20),IF(Sheet4!B158="________________","Σύνολα",IF(MID(Sheet4!B157,4,20)="Ballast","Σύνολα","")))</f>
        <v/>
      </c>
      <c r="C158" t="str">
        <f>IF(LEFT(A158,3)="TK-",VLOOKUP(A158,Sheet3!A:B,2,FALSE),IF(B158="Σύνολα",SUMIF(B$1:B$200,Sheet6!K157,C$1:C$200),""))</f>
        <v/>
      </c>
      <c r="D158" t="str">
        <f>IF(LEFT(A158,3)="TK-",VLOOKUP(A158,Sheet3!A:C,3,FALSE),"")</f>
        <v/>
      </c>
      <c r="E158" t="str">
        <f>IF(ISNUMBER(Sheet4!D158),ROUND(Sheet4!D158,1),IF(B158="Σύνολα",SUMIF(B$1:B$200,Sheet6!K157,E$1:E$200),""))</f>
        <v/>
      </c>
      <c r="F158" s="31" t="str">
        <f>IF(ISNUMBER(Sheet4!E158),Sheet4!E158,"")</f>
        <v/>
      </c>
      <c r="G158" t="str">
        <f>IF(ISNUMBER(Sheet4!G158),ROUND(Sheet4!G158,1),IF(B158="Σύνολα",SUMIF(B$1:B$200,Sheet6!K157,G$1:G$200),""))</f>
        <v/>
      </c>
      <c r="H158" t="str">
        <f>IF(ISNUMBER(Sheet4!F158),ROUND(Sheet4!F158,1),IF(B158="Σύνολα",SUMIF(B$1:B$200,Sheet6!K157,H$1:H$200),""))</f>
        <v/>
      </c>
      <c r="I158" t="str">
        <f>IF(ISNUMBER(Sheet4!J158),ROUND(Sheet4!J158,1),IF(B158="Σύνολα",SUMIF(B$1:B$200,Sheet6!K157,I$1:I$200),""))</f>
        <v/>
      </c>
      <c r="J158" t="str">
        <f>IF(LEFT(A158,3)="TK-",VLOOKUP(A158,Sheet3!A:D,4,FALSE),IF(B158="Σύνολα",SUMIF(B$1:B$200,Sheet6!K157,J$1:J$200),""))</f>
        <v/>
      </c>
      <c r="K158" t="str">
        <f>IF(B158="Σύνολα",SUMIF(B$1:B$200,Sheet6!K157,K$1:K$200),IF(ISNUMBER(E158),IF(E158&gt;J158,ROUND((E158-J158),1),""),""))</f>
        <v/>
      </c>
      <c r="L158" s="6" t="str">
        <f>IF(ISNUMBER(Sheet4!J158),IF(AND(ISNUMBER(H158),H158&gt;0,I158&gt;0),ROUNDDOWN(H158/I158,0),""),"")</f>
        <v/>
      </c>
      <c r="M158" s="6" t="str">
        <f>IF(AND(ISNUMBER(Sheet4!J158),ISNUMBER(K158)),IF(I158&lt;0,ROUNDDOWN(K158/I158,0),""),"")</f>
        <v/>
      </c>
      <c r="N158" s="29" t="str">
        <f>IF(ISNUMBER(Sheet4!H158),Sheet4!H158/1000,"")</f>
        <v/>
      </c>
    </row>
    <row r="159" spans="1:14" ht="12.75" customHeight="1" x14ac:dyDescent="0.2">
      <c r="A159" t="str">
        <f>IF(OR(Sheet4!C159="?",ISNUMBER(Sheet4!C159)),Sheet4!A159,IF(B159="Σύνολα",B158,""))</f>
        <v/>
      </c>
      <c r="B159" s="94" t="str">
        <f>IF(OR(Sheet4!D159="?",ISNUMBER(Sheet4!D159)),MID(Sheet4!B159,4,20),IF(Sheet4!B159="________________","Σύνολα",IF(MID(Sheet4!B158,4,20)="Ballast","Σύνολα","")))</f>
        <v/>
      </c>
      <c r="C159" t="str">
        <f>IF(LEFT(A159,3)="TK-",VLOOKUP(A159,Sheet3!A:B,2,FALSE),IF(B159="Σύνολα",SUMIF(B$1:B$200,Sheet6!K158,C$1:C$200),""))</f>
        <v/>
      </c>
      <c r="D159" t="str">
        <f>IF(LEFT(A159,3)="TK-",VLOOKUP(A159,Sheet3!A:C,3,FALSE),"")</f>
        <v/>
      </c>
      <c r="E159" t="str">
        <f>IF(ISNUMBER(Sheet4!D159),ROUND(Sheet4!D159,1),IF(B159="Σύνολα",SUMIF(B$1:B$200,Sheet6!K158,E$1:E$200),""))</f>
        <v/>
      </c>
      <c r="F159" s="31" t="str">
        <f>IF(ISNUMBER(Sheet4!E159),Sheet4!E159,"")</f>
        <v/>
      </c>
      <c r="G159" t="str">
        <f>IF(ISNUMBER(Sheet4!G159),ROUND(Sheet4!G159,1),IF(B159="Σύνολα",SUMIF(B$1:B$200,Sheet6!K158,G$1:G$200),""))</f>
        <v/>
      </c>
      <c r="H159" t="str">
        <f>IF(ISNUMBER(Sheet4!F159),ROUND(Sheet4!F159,1),IF(B159="Σύνολα",SUMIF(B$1:B$200,Sheet6!K158,H$1:H$200),""))</f>
        <v/>
      </c>
      <c r="I159" t="str">
        <f>IF(ISNUMBER(Sheet4!J159),ROUND(Sheet4!J159,1),IF(B159="Σύνολα",SUMIF(B$1:B$200,Sheet6!K158,I$1:I$200),""))</f>
        <v/>
      </c>
      <c r="J159" t="str">
        <f>IF(LEFT(A159,3)="TK-",VLOOKUP(A159,Sheet3!A:D,4,FALSE),IF(B159="Σύνολα",SUMIF(B$1:B$200,Sheet6!K158,J$1:J$200),""))</f>
        <v/>
      </c>
      <c r="K159" t="str">
        <f>IF(B159="Σύνολα",SUMIF(B$1:B$200,Sheet6!K158,K$1:K$200),IF(ISNUMBER(E159),IF(E159&gt;J159,ROUND((E159-J159),1),""),""))</f>
        <v/>
      </c>
      <c r="L159" s="6" t="str">
        <f>IF(ISNUMBER(Sheet4!J159),IF(AND(ISNUMBER(H159),H159&gt;0,I159&gt;0),ROUNDDOWN(H159/I159,0),""),"")</f>
        <v/>
      </c>
      <c r="M159" s="6" t="str">
        <f>IF(AND(ISNUMBER(Sheet4!J159),ISNUMBER(K159)),IF(I159&lt;0,ROUNDDOWN(K159/I159,0),""),"")</f>
        <v/>
      </c>
      <c r="N159" s="29" t="str">
        <f>IF(ISNUMBER(Sheet4!H159),Sheet4!H159/1000,"")</f>
        <v/>
      </c>
    </row>
    <row r="160" spans="1:14" ht="12.75" customHeight="1" x14ac:dyDescent="0.2">
      <c r="A160" t="str">
        <f>IF(OR(Sheet4!C160="?",ISNUMBER(Sheet4!C160)),Sheet4!A160,IF(B160="Σύνολα",B159,""))</f>
        <v/>
      </c>
      <c r="B160" s="94" t="str">
        <f>IF(OR(Sheet4!D160="?",ISNUMBER(Sheet4!D160)),MID(Sheet4!B160,4,20),IF(Sheet4!B160="________________","Σύνολα",IF(MID(Sheet4!B159,4,20)="Ballast","Σύνολα","")))</f>
        <v/>
      </c>
      <c r="C160" t="str">
        <f>IF(LEFT(A160,3)="TK-",VLOOKUP(A160,Sheet3!A:B,2,FALSE),IF(B160="Σύνολα",SUMIF(B$1:B$200,Sheet6!K159,C$1:C$200),""))</f>
        <v/>
      </c>
      <c r="D160" t="str">
        <f>IF(LEFT(A160,3)="TK-",VLOOKUP(A160,Sheet3!A:C,3,FALSE),"")</f>
        <v/>
      </c>
      <c r="E160" t="str">
        <f>IF(ISNUMBER(Sheet4!D160),ROUND(Sheet4!D160,1),IF(B160="Σύνολα",SUMIF(B$1:B$200,Sheet6!K159,E$1:E$200),""))</f>
        <v/>
      </c>
      <c r="F160" s="31" t="str">
        <f>IF(ISNUMBER(Sheet4!E160),Sheet4!E160,"")</f>
        <v/>
      </c>
      <c r="G160" t="str">
        <f>IF(ISNUMBER(Sheet4!G160),ROUND(Sheet4!G160,1),IF(B160="Σύνολα",SUMIF(B$1:B$200,Sheet6!K159,G$1:G$200),""))</f>
        <v/>
      </c>
      <c r="H160" t="str">
        <f>IF(ISNUMBER(Sheet4!F160),ROUND(Sheet4!F160,1),IF(B160="Σύνολα",SUMIF(B$1:B$200,Sheet6!K159,H$1:H$200),""))</f>
        <v/>
      </c>
      <c r="I160" t="str">
        <f>IF(ISNUMBER(Sheet4!J160),ROUND(Sheet4!J160,1),IF(B160="Σύνολα",SUMIF(B$1:B$200,Sheet6!K159,I$1:I$200),""))</f>
        <v/>
      </c>
      <c r="J160" t="str">
        <f>IF(LEFT(A160,3)="TK-",VLOOKUP(A160,Sheet3!A:D,4,FALSE),IF(B160="Σύνολα",SUMIF(B$1:B$200,Sheet6!K159,J$1:J$200),""))</f>
        <v/>
      </c>
      <c r="K160" t="str">
        <f>IF(B160="Σύνολα",SUMIF(B$1:B$200,Sheet6!K159,K$1:K$200),IF(ISNUMBER(E160),IF(E160&gt;J160,ROUND((E160-J160),1),""),""))</f>
        <v/>
      </c>
      <c r="L160" s="6" t="str">
        <f>IF(ISNUMBER(Sheet4!J160),IF(AND(ISNUMBER(H160),H160&gt;0,I160&gt;0),ROUNDDOWN(H160/I160,0),""),"")</f>
        <v/>
      </c>
      <c r="M160" s="6" t="str">
        <f>IF(AND(ISNUMBER(Sheet4!J160),ISNUMBER(K160)),IF(I160&lt;0,ROUNDDOWN(K160/I160,0),""),"")</f>
        <v/>
      </c>
      <c r="N160" s="29" t="str">
        <f>IF(ISNUMBER(Sheet4!H160),Sheet4!H160/1000,"")</f>
        <v/>
      </c>
    </row>
    <row r="161" spans="1:14" ht="12.75" customHeight="1" x14ac:dyDescent="0.2">
      <c r="A161" t="str">
        <f>IF(OR(Sheet4!C161="?",ISNUMBER(Sheet4!C161)),Sheet4!A161,IF(B161="Σύνολα",B160,""))</f>
        <v/>
      </c>
      <c r="B161" s="94" t="str">
        <f>IF(OR(Sheet4!D161="?",ISNUMBER(Sheet4!D161)),MID(Sheet4!B161,4,20),IF(Sheet4!B161="________________","Σύνολα",IF(MID(Sheet4!B160,4,20)="Ballast","Σύνολα","")))</f>
        <v/>
      </c>
      <c r="C161" t="str">
        <f>IF(LEFT(A161,3)="TK-",VLOOKUP(A161,Sheet3!A:B,2,FALSE),IF(B161="Σύνολα",SUMIF(B$1:B$200,Sheet6!K160,C$1:C$200),""))</f>
        <v/>
      </c>
      <c r="D161" t="str">
        <f>IF(LEFT(A161,3)="TK-",VLOOKUP(A161,Sheet3!A:C,3,FALSE),"")</f>
        <v/>
      </c>
      <c r="E161" t="str">
        <f>IF(ISNUMBER(Sheet4!D161),ROUND(Sheet4!D161,1),IF(B161="Σύνολα",SUMIF(B$1:B$200,Sheet6!K160,E$1:E$200),""))</f>
        <v/>
      </c>
      <c r="F161" s="31" t="str">
        <f>IF(ISNUMBER(Sheet4!E161),Sheet4!E161,"")</f>
        <v/>
      </c>
      <c r="G161" t="str">
        <f>IF(ISNUMBER(Sheet4!G161),ROUND(Sheet4!G161,1),IF(B161="Σύνολα",SUMIF(B$1:B$200,Sheet6!K160,G$1:G$200),""))</f>
        <v/>
      </c>
      <c r="H161" t="str">
        <f>IF(ISNUMBER(Sheet4!F161),ROUND(Sheet4!F161,1),IF(B161="Σύνολα",SUMIF(B$1:B$200,Sheet6!K160,H$1:H$200),""))</f>
        <v/>
      </c>
      <c r="I161" t="str">
        <f>IF(ISNUMBER(Sheet4!J161),ROUND(Sheet4!J161,1),IF(B161="Σύνολα",SUMIF(B$1:B$200,Sheet6!K160,I$1:I$200),""))</f>
        <v/>
      </c>
      <c r="J161" t="str">
        <f>IF(LEFT(A161,3)="TK-",VLOOKUP(A161,Sheet3!A:D,4,FALSE),IF(B161="Σύνολα",SUMIF(B$1:B$200,Sheet6!K160,J$1:J$200),""))</f>
        <v/>
      </c>
      <c r="K161" t="str">
        <f>IF(B161="Σύνολα",SUMIF(B$1:B$200,Sheet6!K160,K$1:K$200),IF(ISNUMBER(E161),IF(E161&gt;J161,ROUND((E161-J161),1),""),""))</f>
        <v/>
      </c>
      <c r="L161" s="6" t="str">
        <f>IF(ISNUMBER(Sheet4!J161),IF(AND(ISNUMBER(H161),H161&gt;0,I161&gt;0),ROUNDDOWN(H161/I161,0),""),"")</f>
        <v/>
      </c>
      <c r="M161" s="6" t="str">
        <f>IF(AND(ISNUMBER(Sheet4!J161),ISNUMBER(K161)),IF(I161&lt;0,ROUNDDOWN(K161/I161,0),""),"")</f>
        <v/>
      </c>
      <c r="N161" s="29" t="str">
        <f>IF(ISNUMBER(Sheet4!H161),Sheet4!H161/1000,"")</f>
        <v/>
      </c>
    </row>
    <row r="162" spans="1:14" ht="12.75" customHeight="1" x14ac:dyDescent="0.2">
      <c r="A162" t="str">
        <f>IF(OR(Sheet4!C162="?",ISNUMBER(Sheet4!C162)),Sheet4!A162,IF(B162="Σύνολα",B161,""))</f>
        <v/>
      </c>
      <c r="B162" s="94" t="str">
        <f>IF(OR(Sheet4!D162="?",ISNUMBER(Sheet4!D162)),MID(Sheet4!B162,4,20),IF(Sheet4!B162="________________","Σύνολα",IF(MID(Sheet4!B161,4,20)="Ballast","Σύνολα","")))</f>
        <v/>
      </c>
      <c r="C162" t="str">
        <f>IF(LEFT(A162,3)="TK-",VLOOKUP(A162,Sheet3!A:B,2,FALSE),IF(B162="Σύνολα",SUMIF(B$1:B$200,Sheet6!K161,C$1:C$200),""))</f>
        <v/>
      </c>
      <c r="D162" t="str">
        <f>IF(LEFT(A162,3)="TK-",VLOOKUP(A162,Sheet3!A:C,3,FALSE),"")</f>
        <v/>
      </c>
      <c r="E162" t="str">
        <f>IF(ISNUMBER(Sheet4!D162),ROUND(Sheet4!D162,1),IF(B162="Σύνολα",SUMIF(B$1:B$200,Sheet6!K161,E$1:E$200),""))</f>
        <v/>
      </c>
      <c r="F162" s="31" t="str">
        <f>IF(ISNUMBER(Sheet4!E162),Sheet4!E162,"")</f>
        <v/>
      </c>
      <c r="G162" t="str">
        <f>IF(ISNUMBER(Sheet4!G162),ROUND(Sheet4!G162,1),IF(B162="Σύνολα",SUMIF(B$1:B$200,Sheet6!K161,G$1:G$200),""))</f>
        <v/>
      </c>
      <c r="H162" t="str">
        <f>IF(ISNUMBER(Sheet4!F162),ROUND(Sheet4!F162,1),IF(B162="Σύνολα",SUMIF(B$1:B$200,Sheet6!K161,H$1:H$200),""))</f>
        <v/>
      </c>
      <c r="I162" t="str">
        <f>IF(ISNUMBER(Sheet4!J162),ROUND(Sheet4!J162,1),IF(B162="Σύνολα",SUMIF(B$1:B$200,Sheet6!K161,I$1:I$200),""))</f>
        <v/>
      </c>
      <c r="J162" t="str">
        <f>IF(LEFT(A162,3)="TK-",VLOOKUP(A162,Sheet3!A:D,4,FALSE),IF(B162="Σύνολα",SUMIF(B$1:B$200,Sheet6!K161,J$1:J$200),""))</f>
        <v/>
      </c>
      <c r="K162" t="str">
        <f>IF(B162="Σύνολα",SUMIF(B$1:B$200,Sheet6!K161,K$1:K$200),IF(ISNUMBER(E162),IF(E162&gt;J162,ROUND((E162-J162),1),""),""))</f>
        <v/>
      </c>
      <c r="L162" s="6" t="str">
        <f>IF(ISNUMBER(Sheet4!J162),IF(AND(ISNUMBER(H162),H162&gt;0,I162&gt;0),ROUNDDOWN(H162/I162,0),""),"")</f>
        <v/>
      </c>
      <c r="M162" s="6" t="str">
        <f>IF(AND(ISNUMBER(Sheet4!J162),ISNUMBER(K162)),IF(I162&lt;0,ROUNDDOWN(K162/I162,0),""),"")</f>
        <v/>
      </c>
      <c r="N162" s="29" t="str">
        <f>IF(ISNUMBER(Sheet4!H162),Sheet4!H162/1000,"")</f>
        <v/>
      </c>
    </row>
    <row r="163" spans="1:14" ht="12.75" customHeight="1" x14ac:dyDescent="0.2">
      <c r="A163" t="str">
        <f>IF(OR(Sheet4!C163="?",ISNUMBER(Sheet4!C163)),Sheet4!A163,IF(B163="Σύνολα",B162,""))</f>
        <v/>
      </c>
      <c r="B163" s="94" t="str">
        <f>IF(OR(Sheet4!D163="?",ISNUMBER(Sheet4!D163)),MID(Sheet4!B163,4,20),IF(Sheet4!B163="________________","Σύνολα",IF(MID(Sheet4!B162,4,20)="Ballast","Σύνολα","")))</f>
        <v/>
      </c>
      <c r="C163" t="str">
        <f>IF(LEFT(A163,3)="TK-",VLOOKUP(A163,Sheet3!A:B,2,FALSE),IF(B163="Σύνολα",SUMIF(B$1:B$200,Sheet6!K162,C$1:C$200),""))</f>
        <v/>
      </c>
      <c r="D163" t="str">
        <f>IF(LEFT(A163,3)="TK-",VLOOKUP(A163,Sheet3!A:C,3,FALSE),"")</f>
        <v/>
      </c>
      <c r="E163" t="str">
        <f>IF(ISNUMBER(Sheet4!D163),ROUND(Sheet4!D163,1),IF(B163="Σύνολα",SUMIF(B$1:B$200,Sheet6!K162,E$1:E$200),""))</f>
        <v/>
      </c>
      <c r="F163" s="31" t="str">
        <f>IF(ISNUMBER(Sheet4!E163),Sheet4!E163,"")</f>
        <v/>
      </c>
      <c r="G163" t="str">
        <f>IF(ISNUMBER(Sheet4!G163),ROUND(Sheet4!G163,1),IF(B163="Σύνολα",SUMIF(B$1:B$200,Sheet6!K162,G$1:G$200),""))</f>
        <v/>
      </c>
      <c r="H163" t="str">
        <f>IF(ISNUMBER(Sheet4!F163),ROUND(Sheet4!F163,1),IF(B163="Σύνολα",SUMIF(B$1:B$200,Sheet6!K162,H$1:H$200),""))</f>
        <v/>
      </c>
      <c r="I163" t="str">
        <f>IF(ISNUMBER(Sheet4!J163),ROUND(Sheet4!J163,1),IF(B163="Σύνολα",SUMIF(B$1:B$200,Sheet6!K162,I$1:I$200),""))</f>
        <v/>
      </c>
      <c r="J163" t="str">
        <f>IF(LEFT(A163,3)="TK-",VLOOKUP(A163,Sheet3!A:D,4,FALSE),IF(B163="Σύνολα",SUMIF(B$1:B$200,Sheet6!K162,J$1:J$200),""))</f>
        <v/>
      </c>
      <c r="K163" t="str">
        <f>IF(B163="Σύνολα",SUMIF(B$1:B$200,Sheet6!K162,K$1:K$200),IF(ISNUMBER(E163),IF(E163&gt;J163,ROUND((E163-J163),1),""),""))</f>
        <v/>
      </c>
      <c r="L163" s="6" t="str">
        <f>IF(ISNUMBER(Sheet4!J163),IF(AND(ISNUMBER(H163),H163&gt;0,I163&gt;0),ROUNDDOWN(H163/I163,0),""),"")</f>
        <v/>
      </c>
      <c r="M163" s="6" t="str">
        <f>IF(AND(ISNUMBER(Sheet4!J163),ISNUMBER(K163)),IF(I163&lt;0,ROUNDDOWN(K163/I163,0),""),"")</f>
        <v/>
      </c>
      <c r="N163" s="29" t="str">
        <f>IF(ISNUMBER(Sheet4!H163),Sheet4!H163/1000,"")</f>
        <v/>
      </c>
    </row>
    <row r="164" spans="1:14" ht="12.75" customHeight="1" x14ac:dyDescent="0.2">
      <c r="A164" t="str">
        <f>IF(OR(Sheet4!C164="?",ISNUMBER(Sheet4!C164)),Sheet4!A164,IF(B164="Σύνολα",B163,""))</f>
        <v/>
      </c>
      <c r="B164" s="94" t="str">
        <f>IF(OR(Sheet4!D164="?",ISNUMBER(Sheet4!D164)),MID(Sheet4!B164,4,20),IF(Sheet4!B164="________________","Σύνολα",IF(MID(Sheet4!B163,4,20)="Ballast","Σύνολα","")))</f>
        <v/>
      </c>
      <c r="C164" t="str">
        <f>IF(LEFT(A164,3)="TK-",VLOOKUP(A164,Sheet3!A:B,2,FALSE),IF(B164="Σύνολα",SUMIF(B$1:B$200,Sheet6!K163,C$1:C$200),""))</f>
        <v/>
      </c>
      <c r="D164" t="str">
        <f>IF(LEFT(A164,3)="TK-",VLOOKUP(A164,Sheet3!A:C,3,FALSE),"")</f>
        <v/>
      </c>
      <c r="E164" t="str">
        <f>IF(ISNUMBER(Sheet4!D164),ROUND(Sheet4!D164,1),IF(B164="Σύνολα",SUMIF(B$1:B$200,Sheet6!K163,E$1:E$200),""))</f>
        <v/>
      </c>
      <c r="F164" s="31" t="str">
        <f>IF(ISNUMBER(Sheet4!E164),Sheet4!E164,"")</f>
        <v/>
      </c>
      <c r="G164" t="str">
        <f>IF(ISNUMBER(Sheet4!G164),ROUND(Sheet4!G164,1),IF(B164="Σύνολα",SUMIF(B$1:B$200,Sheet6!K163,G$1:G$200),""))</f>
        <v/>
      </c>
      <c r="H164" t="str">
        <f>IF(ISNUMBER(Sheet4!F164),ROUND(Sheet4!F164,1),IF(B164="Σύνολα",SUMIF(B$1:B$200,Sheet6!K163,H$1:H$200),""))</f>
        <v/>
      </c>
      <c r="I164" t="str">
        <f>IF(ISNUMBER(Sheet4!J164),ROUND(Sheet4!J164,1),IF(B164="Σύνολα",SUMIF(B$1:B$200,Sheet6!K163,I$1:I$200),""))</f>
        <v/>
      </c>
      <c r="J164" t="str">
        <f>IF(LEFT(A164,3)="TK-",VLOOKUP(A164,Sheet3!A:D,4,FALSE),IF(B164="Σύνολα",SUMIF(B$1:B$200,Sheet6!K163,J$1:J$200),""))</f>
        <v/>
      </c>
      <c r="K164" t="str">
        <f>IF(B164="Σύνολα",SUMIF(B$1:B$200,Sheet6!K163,K$1:K$200),IF(ISNUMBER(E164),IF(E164&gt;J164,ROUND((E164-J164),1),""),""))</f>
        <v/>
      </c>
      <c r="L164" s="6" t="str">
        <f>IF(ISNUMBER(Sheet4!J164),IF(AND(ISNUMBER(H164),H164&gt;0,I164&gt;0),ROUNDDOWN(H164/I164,0),""),"")</f>
        <v/>
      </c>
      <c r="M164" s="6" t="str">
        <f>IF(AND(ISNUMBER(Sheet4!J164),ISNUMBER(K164)),IF(I164&lt;0,ROUNDDOWN(K164/I164,0),""),"")</f>
        <v/>
      </c>
      <c r="N164" s="29" t="str">
        <f>IF(ISNUMBER(Sheet4!H164),Sheet4!H164/1000,"")</f>
        <v/>
      </c>
    </row>
    <row r="165" spans="1:14" ht="12.75" customHeight="1" x14ac:dyDescent="0.2">
      <c r="A165" t="str">
        <f>IF(OR(Sheet4!C165="?",ISNUMBER(Sheet4!C165)),Sheet4!A165,IF(B165="Σύνολα",B164,""))</f>
        <v/>
      </c>
      <c r="B165" s="94" t="str">
        <f>IF(OR(Sheet4!D165="?",ISNUMBER(Sheet4!D165)),MID(Sheet4!B165,4,20),IF(Sheet4!B165="________________","Σύνολα",IF(MID(Sheet4!B164,4,20)="Ballast","Σύνολα","")))</f>
        <v/>
      </c>
      <c r="C165" t="str">
        <f>IF(LEFT(A165,3)="TK-",VLOOKUP(A165,Sheet3!A:B,2,FALSE),IF(B165="Σύνολα",SUMIF(B$1:B$200,Sheet6!K164,C$1:C$200),""))</f>
        <v/>
      </c>
      <c r="D165" t="str">
        <f>IF(LEFT(A165,3)="TK-",VLOOKUP(A165,Sheet3!A:C,3,FALSE),"")</f>
        <v/>
      </c>
      <c r="E165" t="str">
        <f>IF(ISNUMBER(Sheet4!D165),ROUND(Sheet4!D165,1),IF(B165="Σύνολα",SUMIF(B$1:B$200,Sheet6!K164,E$1:E$200),""))</f>
        <v/>
      </c>
      <c r="F165" s="31" t="str">
        <f>IF(ISNUMBER(Sheet4!E165),Sheet4!E165,"")</f>
        <v/>
      </c>
      <c r="G165" t="str">
        <f>IF(ISNUMBER(Sheet4!G165),ROUND(Sheet4!G165,1),IF(B165="Σύνολα",SUMIF(B$1:B$200,Sheet6!K164,G$1:G$200),""))</f>
        <v/>
      </c>
      <c r="H165" t="str">
        <f>IF(ISNUMBER(Sheet4!F165),ROUND(Sheet4!F165,1),IF(B165="Σύνολα",SUMIF(B$1:B$200,Sheet6!K164,H$1:H$200),""))</f>
        <v/>
      </c>
      <c r="I165" t="str">
        <f>IF(ISNUMBER(Sheet4!J165),ROUND(Sheet4!J165,1),IF(B165="Σύνολα",SUMIF(B$1:B$200,Sheet6!K164,I$1:I$200),""))</f>
        <v/>
      </c>
      <c r="J165" t="str">
        <f>IF(LEFT(A165,3)="TK-",VLOOKUP(A165,Sheet3!A:D,4,FALSE),IF(B165="Σύνολα",SUMIF(B$1:B$200,Sheet6!K164,J$1:J$200),""))</f>
        <v/>
      </c>
      <c r="K165" t="str">
        <f>IF(B165="Σύνολα",SUMIF(B$1:B$200,Sheet6!K164,K$1:K$200),IF(ISNUMBER(E165),IF(E165&gt;J165,ROUND((E165-J165),1),""),""))</f>
        <v/>
      </c>
      <c r="L165" s="6" t="str">
        <f>IF(ISNUMBER(Sheet4!J165),IF(AND(ISNUMBER(H165),H165&gt;0,I165&gt;0),ROUNDDOWN(H165/I165,0),""),"")</f>
        <v/>
      </c>
      <c r="M165" s="6" t="str">
        <f>IF(AND(ISNUMBER(Sheet4!J165),ISNUMBER(K165)),IF(I165&lt;0,ROUNDDOWN(K165/I165,0),""),"")</f>
        <v/>
      </c>
      <c r="N165" s="29" t="str">
        <f>IF(ISNUMBER(Sheet4!H165),Sheet4!H165/1000,"")</f>
        <v/>
      </c>
    </row>
    <row r="166" spans="1:14" ht="12.75" customHeight="1" x14ac:dyDescent="0.2">
      <c r="A166" t="str">
        <f>IF(OR(Sheet4!C166="?",ISNUMBER(Sheet4!C166)),Sheet4!A166,IF(B166="Σύνολα",B165,""))</f>
        <v/>
      </c>
      <c r="B166" s="94" t="str">
        <f>IF(OR(Sheet4!D166="?",ISNUMBER(Sheet4!D166)),MID(Sheet4!B166,4,20),IF(Sheet4!B166="________________","Σύνολα",IF(MID(Sheet4!B165,4,20)="Ballast","Σύνολα","")))</f>
        <v/>
      </c>
      <c r="C166" t="str">
        <f>IF(LEFT(A166,3)="TK-",VLOOKUP(A166,Sheet3!A:B,2,FALSE),IF(B166="Σύνολα",SUMIF(B$1:B$200,Sheet6!K165,C$1:C$200),""))</f>
        <v/>
      </c>
      <c r="D166" t="str">
        <f>IF(LEFT(A166,3)="TK-",VLOOKUP(A166,Sheet3!A:C,3,FALSE),"")</f>
        <v/>
      </c>
      <c r="E166" t="str">
        <f>IF(ISNUMBER(Sheet4!D166),ROUND(Sheet4!D166,1),IF(B166="Σύνολα",SUMIF(B$1:B$200,Sheet6!K165,E$1:E$200),""))</f>
        <v/>
      </c>
      <c r="F166" s="31" t="str">
        <f>IF(ISNUMBER(Sheet4!E166),Sheet4!E166,"")</f>
        <v/>
      </c>
      <c r="G166" t="str">
        <f>IF(ISNUMBER(Sheet4!G166),ROUND(Sheet4!G166,1),IF(B166="Σύνολα",SUMIF(B$1:B$200,Sheet6!K165,G$1:G$200),""))</f>
        <v/>
      </c>
      <c r="H166" t="str">
        <f>IF(ISNUMBER(Sheet4!F166),ROUND(Sheet4!F166,1),IF(B166="Σύνολα",SUMIF(B$1:B$200,Sheet6!K165,H$1:H$200),""))</f>
        <v/>
      </c>
      <c r="I166" t="str">
        <f>IF(ISNUMBER(Sheet4!J166),ROUND(Sheet4!J166,1),IF(B166="Σύνολα",SUMIF(B$1:B$200,Sheet6!K165,I$1:I$200),""))</f>
        <v/>
      </c>
      <c r="J166" t="str">
        <f>IF(LEFT(A166,3)="TK-",VLOOKUP(A166,Sheet3!A:D,4,FALSE),IF(B166="Σύνολα",SUMIF(B$1:B$200,Sheet6!K165,J$1:J$200),""))</f>
        <v/>
      </c>
      <c r="K166" t="str">
        <f>IF(B166="Σύνολα",SUMIF(B$1:B$200,Sheet6!K165,K$1:K$200),IF(ISNUMBER(E166),IF(E166&gt;J166,ROUND((E166-J166),1),""),""))</f>
        <v/>
      </c>
      <c r="L166" s="6" t="str">
        <f>IF(ISNUMBER(Sheet4!J166),IF(AND(ISNUMBER(H166),H166&gt;0,I166&gt;0),ROUNDDOWN(H166/I166,0),""),"")</f>
        <v/>
      </c>
      <c r="M166" s="6" t="str">
        <f>IF(AND(ISNUMBER(Sheet4!J166),ISNUMBER(K166)),IF(I166&lt;0,ROUNDDOWN(K166/I166,0),""),"")</f>
        <v/>
      </c>
      <c r="N166" s="29" t="str">
        <f>IF(ISNUMBER(Sheet4!H166),Sheet4!H166/1000,"")</f>
        <v/>
      </c>
    </row>
    <row r="167" spans="1:14" ht="12.75" customHeight="1" x14ac:dyDescent="0.2">
      <c r="A167" t="str">
        <f>IF(OR(Sheet4!C167="?",ISNUMBER(Sheet4!C167)),Sheet4!A167,IF(B167="Σύνολα",B166,""))</f>
        <v/>
      </c>
      <c r="B167" s="94" t="str">
        <f>IF(OR(Sheet4!D167="?",ISNUMBER(Sheet4!D167)),MID(Sheet4!B167,4,20),IF(Sheet4!B167="________________","Σύνολα",IF(MID(Sheet4!B166,4,20)="Ballast","Σύνολα","")))</f>
        <v/>
      </c>
      <c r="C167" t="str">
        <f>IF(LEFT(A167,3)="TK-",VLOOKUP(A167,Sheet3!A:B,2,FALSE),IF(B167="Σύνολα",SUMIF(B$1:B$200,Sheet6!K166,C$1:C$200),""))</f>
        <v/>
      </c>
      <c r="D167" t="str">
        <f>IF(LEFT(A167,3)="TK-",VLOOKUP(A167,Sheet3!A:C,3,FALSE),"")</f>
        <v/>
      </c>
      <c r="E167" t="str">
        <f>IF(ISNUMBER(Sheet4!D167),ROUND(Sheet4!D167,1),IF(B167="Σύνολα",SUMIF(B$1:B$200,Sheet6!K166,E$1:E$200),""))</f>
        <v/>
      </c>
      <c r="F167" s="31" t="str">
        <f>IF(ISNUMBER(Sheet4!E167),Sheet4!E167,"")</f>
        <v/>
      </c>
      <c r="G167" t="str">
        <f>IF(ISNUMBER(Sheet4!G167),ROUND(Sheet4!G167,1),IF(B167="Σύνολα",SUMIF(B$1:B$200,Sheet6!K166,G$1:G$200),""))</f>
        <v/>
      </c>
      <c r="H167" t="str">
        <f>IF(ISNUMBER(Sheet4!F167),ROUND(Sheet4!F167,1),IF(B167="Σύνολα",SUMIF(B$1:B$200,Sheet6!K166,H$1:H$200),""))</f>
        <v/>
      </c>
      <c r="I167" t="str">
        <f>IF(ISNUMBER(Sheet4!J167),ROUND(Sheet4!J167,1),IF(B167="Σύνολα",SUMIF(B$1:B$200,Sheet6!K166,I$1:I$200),""))</f>
        <v/>
      </c>
      <c r="J167" t="str">
        <f>IF(LEFT(A167,3)="TK-",VLOOKUP(A167,Sheet3!A:D,4,FALSE),IF(B167="Σύνολα",SUMIF(B$1:B$200,Sheet6!K166,J$1:J$200),""))</f>
        <v/>
      </c>
      <c r="K167" t="str">
        <f>IF(B167="Σύνολα",SUMIF(B$1:B$200,Sheet6!K166,K$1:K$200),IF(ISNUMBER(E167),IF(E167&gt;J167,ROUND((E167-J167),1),""),""))</f>
        <v/>
      </c>
      <c r="L167" s="6" t="str">
        <f>IF(ISNUMBER(Sheet4!J167),IF(AND(ISNUMBER(H167),H167&gt;0,I167&gt;0),ROUNDDOWN(H167/I167,0),""),"")</f>
        <v/>
      </c>
      <c r="M167" s="6" t="str">
        <f>IF(AND(ISNUMBER(Sheet4!J167),ISNUMBER(K167)),IF(I167&lt;0,ROUNDDOWN(K167/I167,0),""),"")</f>
        <v/>
      </c>
      <c r="N167" s="29" t="str">
        <f>IF(ISNUMBER(Sheet4!H167),Sheet4!H167/1000,"")</f>
        <v/>
      </c>
    </row>
    <row r="168" spans="1:14" ht="12.75" customHeight="1" x14ac:dyDescent="0.2">
      <c r="A168" t="str">
        <f>IF(OR(Sheet4!C168="?",ISNUMBER(Sheet4!C168)),Sheet4!A168,IF(B168="Σύνολα",B167,""))</f>
        <v/>
      </c>
      <c r="B168" s="94" t="str">
        <f>IF(OR(Sheet4!D168="?",ISNUMBER(Sheet4!D168)),MID(Sheet4!B168,4,20),IF(Sheet4!B168="________________","Σύνολα",IF(MID(Sheet4!B167,4,20)="Ballast","Σύνολα","")))</f>
        <v/>
      </c>
      <c r="C168" t="str">
        <f>IF(LEFT(A168,3)="TK-",VLOOKUP(A168,Sheet3!A:B,2,FALSE),IF(B168="Σύνολα",SUMIF(B$1:B$200,Sheet6!K167,C$1:C$200),""))</f>
        <v/>
      </c>
      <c r="D168" t="str">
        <f>IF(LEFT(A168,3)="TK-",VLOOKUP(A168,Sheet3!A:C,3,FALSE),"")</f>
        <v/>
      </c>
      <c r="E168" t="str">
        <f>IF(ISNUMBER(Sheet4!D168),ROUND(Sheet4!D168,1),IF(B168="Σύνολα",SUMIF(B$1:B$200,Sheet6!K167,E$1:E$200),""))</f>
        <v/>
      </c>
      <c r="F168" s="31" t="str">
        <f>IF(ISNUMBER(Sheet4!E168),Sheet4!E168,"")</f>
        <v/>
      </c>
      <c r="G168" t="str">
        <f>IF(ISNUMBER(Sheet4!G168),ROUND(Sheet4!G168,1),IF(B168="Σύνολα",SUMIF(B$1:B$200,Sheet6!K167,G$1:G$200),""))</f>
        <v/>
      </c>
      <c r="H168" t="str">
        <f>IF(ISNUMBER(Sheet4!F168),ROUND(Sheet4!F168,1),IF(B168="Σύνολα",SUMIF(B$1:B$200,Sheet6!K167,H$1:H$200),""))</f>
        <v/>
      </c>
      <c r="I168" t="str">
        <f>IF(ISNUMBER(Sheet4!J168),ROUND(Sheet4!J168,1),IF(B168="Σύνολα",SUMIF(B$1:B$200,Sheet6!K167,I$1:I$200),""))</f>
        <v/>
      </c>
      <c r="J168" t="str">
        <f>IF(LEFT(A168,3)="TK-",VLOOKUP(A168,Sheet3!A:D,4,FALSE),IF(B168="Σύνολα",SUMIF(B$1:B$200,Sheet6!K167,J$1:J$200),""))</f>
        <v/>
      </c>
      <c r="K168" t="str">
        <f>IF(B168="Σύνολα",SUMIF(B$1:B$200,Sheet6!K167,K$1:K$200),IF(ISNUMBER(E168),IF(E168&gt;J168,ROUND((E168-J168),1),""),""))</f>
        <v/>
      </c>
      <c r="L168" s="6" t="str">
        <f>IF(ISNUMBER(Sheet4!J168),IF(AND(ISNUMBER(H168),H168&gt;0,I168&gt;0),ROUNDDOWN(H168/I168,0),""),"")</f>
        <v/>
      </c>
      <c r="M168" s="6" t="str">
        <f>IF(AND(ISNUMBER(Sheet4!J168),ISNUMBER(K168)),IF(I168&lt;0,ROUNDDOWN(K168/I168,0),""),"")</f>
        <v/>
      </c>
      <c r="N168" s="29" t="str">
        <f>IF(ISNUMBER(Sheet4!H168),Sheet4!H168/1000,"")</f>
        <v/>
      </c>
    </row>
    <row r="169" spans="1:14" ht="12.75" customHeight="1" x14ac:dyDescent="0.2">
      <c r="A169" t="str">
        <f>IF(OR(Sheet4!C169="?",ISNUMBER(Sheet4!C169)),Sheet4!A169,IF(B169="Σύνολα",B168,""))</f>
        <v/>
      </c>
      <c r="B169" s="94" t="str">
        <f>IF(OR(Sheet4!D169="?",ISNUMBER(Sheet4!D169)),MID(Sheet4!B169,4,20),IF(Sheet4!B169="________________","Σύνολα",IF(MID(Sheet4!B168,4,20)="Ballast","Σύνολα","")))</f>
        <v/>
      </c>
      <c r="C169" t="str">
        <f>IF(LEFT(A169,3)="TK-",VLOOKUP(A169,Sheet3!A:B,2,FALSE),IF(B169="Σύνολα",SUMIF(B$1:B$200,Sheet6!K168,C$1:C$200),""))</f>
        <v/>
      </c>
      <c r="D169" t="str">
        <f>IF(LEFT(A169,3)="TK-",VLOOKUP(A169,Sheet3!A:C,3,FALSE),"")</f>
        <v/>
      </c>
      <c r="E169" t="str">
        <f>IF(ISNUMBER(Sheet4!D169),ROUND(Sheet4!D169,1),IF(B169="Σύνολα",SUMIF(B$1:B$200,Sheet6!K168,E$1:E$200),""))</f>
        <v/>
      </c>
      <c r="F169" s="31" t="str">
        <f>IF(ISNUMBER(Sheet4!E169),Sheet4!E169,"")</f>
        <v/>
      </c>
      <c r="G169" t="str">
        <f>IF(ISNUMBER(Sheet4!G169),ROUND(Sheet4!G169,1),IF(B169="Σύνολα",SUMIF(B$1:B$200,Sheet6!K168,G$1:G$200),""))</f>
        <v/>
      </c>
      <c r="H169" t="str">
        <f>IF(ISNUMBER(Sheet4!F169),ROUND(Sheet4!F169,1),IF(B169="Σύνολα",SUMIF(B$1:B$200,Sheet6!K168,H$1:H$200),""))</f>
        <v/>
      </c>
      <c r="I169" t="str">
        <f>IF(ISNUMBER(Sheet4!J169),ROUND(Sheet4!J169,1),IF(B169="Σύνολα",SUMIF(B$1:B$200,Sheet6!K168,I$1:I$200),""))</f>
        <v/>
      </c>
      <c r="J169" t="str">
        <f>IF(LEFT(A169,3)="TK-",VLOOKUP(A169,Sheet3!A:D,4,FALSE),IF(B169="Σύνολα",SUMIF(B$1:B$200,Sheet6!K168,J$1:J$200),""))</f>
        <v/>
      </c>
      <c r="K169" t="str">
        <f>IF(B169="Σύνολα",SUMIF(B$1:B$200,Sheet6!K168,K$1:K$200),IF(ISNUMBER(E169),IF(E169&gt;J169,ROUND((E169-J169),1),""),""))</f>
        <v/>
      </c>
      <c r="L169" s="6" t="str">
        <f>IF(ISNUMBER(Sheet4!J169),IF(AND(ISNUMBER(H169),H169&gt;0,I169&gt;0),ROUNDDOWN(H169/I169,0),""),"")</f>
        <v/>
      </c>
      <c r="M169" s="6" t="str">
        <f>IF(AND(ISNUMBER(Sheet4!J169),ISNUMBER(K169)),IF(I169&lt;0,ROUNDDOWN(K169/I169,0),""),"")</f>
        <v/>
      </c>
      <c r="N169" s="29" t="str">
        <f>IF(ISNUMBER(Sheet4!H169),Sheet4!H169/1000,"")</f>
        <v/>
      </c>
    </row>
    <row r="170" spans="1:14" ht="12.75" customHeight="1" x14ac:dyDescent="0.2">
      <c r="A170" t="str">
        <f>IF(OR(Sheet4!C170="?",ISNUMBER(Sheet4!C170)),Sheet4!A170,IF(B170="Σύνολα",B169,""))</f>
        <v/>
      </c>
      <c r="B170" s="94" t="str">
        <f>IF(OR(Sheet4!D170="?",ISNUMBER(Sheet4!D170)),MID(Sheet4!B170,4,20),IF(Sheet4!B170="________________","Σύνολα",IF(MID(Sheet4!B169,4,20)="Ballast","Σύνολα","")))</f>
        <v/>
      </c>
      <c r="C170" t="str">
        <f>IF(LEFT(A170,3)="TK-",VLOOKUP(A170,Sheet3!A:B,2,FALSE),IF(B170="Σύνολα",SUMIF(B$1:B$200,Sheet6!K169,C$1:C$200),""))</f>
        <v/>
      </c>
      <c r="D170" t="str">
        <f>IF(LEFT(A170,3)="TK-",VLOOKUP(A170,Sheet3!A:C,3,FALSE),"")</f>
        <v/>
      </c>
      <c r="E170" t="str">
        <f>IF(ISNUMBER(Sheet4!D170),ROUND(Sheet4!D170,1),IF(B170="Σύνολα",SUMIF(B$1:B$200,Sheet6!K169,E$1:E$200),""))</f>
        <v/>
      </c>
      <c r="F170" s="31" t="str">
        <f>IF(ISNUMBER(Sheet4!E170),Sheet4!E170,"")</f>
        <v/>
      </c>
      <c r="G170" t="str">
        <f>IF(ISNUMBER(Sheet4!G170),ROUND(Sheet4!G170,1),IF(B170="Σύνολα",SUMIF(B$1:B$200,Sheet6!K169,G$1:G$200),""))</f>
        <v/>
      </c>
      <c r="H170" t="str">
        <f>IF(ISNUMBER(Sheet4!F170),ROUND(Sheet4!F170,1),IF(B170="Σύνολα",SUMIF(B$1:B$200,Sheet6!K169,H$1:H$200),""))</f>
        <v/>
      </c>
      <c r="I170" t="str">
        <f>IF(ISNUMBER(Sheet4!J170),ROUND(Sheet4!J170,1),IF(B170="Σύνολα",SUMIF(B$1:B$200,Sheet6!K169,I$1:I$200),""))</f>
        <v/>
      </c>
      <c r="J170" t="str">
        <f>IF(LEFT(A170,3)="TK-",VLOOKUP(A170,Sheet3!A:D,4,FALSE),IF(B170="Σύνολα",SUMIF(B$1:B$200,Sheet6!K169,J$1:J$200),""))</f>
        <v/>
      </c>
      <c r="K170" t="str">
        <f>IF(B170="Σύνολα",SUMIF(B$1:B$200,Sheet6!K169,K$1:K$200),IF(ISNUMBER(E170),IF(E170&gt;J170,ROUND((E170-J170),1),""),""))</f>
        <v/>
      </c>
      <c r="L170" s="6" t="str">
        <f>IF(ISNUMBER(Sheet4!J170),IF(AND(ISNUMBER(H170),H170&gt;0,I170&gt;0),ROUNDDOWN(H170/I170,0),""),"")</f>
        <v/>
      </c>
      <c r="M170" s="6" t="str">
        <f>IF(AND(ISNUMBER(Sheet4!J170),ISNUMBER(K170)),IF(I170&lt;0,ROUNDDOWN(K170/I170,0),""),"")</f>
        <v/>
      </c>
      <c r="N170" s="29" t="str">
        <f>IF(ISNUMBER(Sheet4!H170),Sheet4!H170/1000,"")</f>
        <v/>
      </c>
    </row>
    <row r="171" spans="1:14" ht="12.75" customHeight="1" x14ac:dyDescent="0.2">
      <c r="A171" t="str">
        <f>IF(OR(Sheet4!C171="?",ISNUMBER(Sheet4!C171)),Sheet4!A171,IF(B171="Σύνολα",B170,""))</f>
        <v/>
      </c>
      <c r="B171" s="94" t="str">
        <f>IF(OR(Sheet4!D171="?",ISNUMBER(Sheet4!D171)),MID(Sheet4!B171,4,20),IF(Sheet4!B171="________________","Σύνολα",IF(MID(Sheet4!B170,4,20)="Ballast","Σύνολα","")))</f>
        <v/>
      </c>
      <c r="C171" t="str">
        <f>IF(LEFT(A171,3)="TK-",VLOOKUP(A171,Sheet3!A:B,2,FALSE),IF(B171="Σύνολα",SUMIF(B$1:B$200,Sheet6!K170,C$1:C$200),""))</f>
        <v/>
      </c>
      <c r="D171" t="str">
        <f>IF(LEFT(A171,3)="TK-",VLOOKUP(A171,Sheet3!A:C,3,FALSE),"")</f>
        <v/>
      </c>
      <c r="E171" t="str">
        <f>IF(ISNUMBER(Sheet4!D171),ROUND(Sheet4!D171,1),IF(B171="Σύνολα",SUMIF(B$1:B$200,Sheet6!K170,E$1:E$200),""))</f>
        <v/>
      </c>
      <c r="F171" s="31" t="str">
        <f>IF(ISNUMBER(Sheet4!E171),Sheet4!E171,"")</f>
        <v/>
      </c>
      <c r="G171" t="str">
        <f>IF(ISNUMBER(Sheet4!G171),ROUND(Sheet4!G171,1),IF(B171="Σύνολα",SUMIF(B$1:B$200,Sheet6!K170,G$1:G$200),""))</f>
        <v/>
      </c>
      <c r="H171" t="str">
        <f>IF(ISNUMBER(Sheet4!F171),ROUND(Sheet4!F171,1),IF(B171="Σύνολα",SUMIF(B$1:B$200,Sheet6!K170,H$1:H$200),""))</f>
        <v/>
      </c>
      <c r="I171" t="str">
        <f>IF(ISNUMBER(Sheet4!J171),ROUND(Sheet4!J171,1),IF(B171="Σύνολα",SUMIF(B$1:B$200,Sheet6!K170,I$1:I$200),""))</f>
        <v/>
      </c>
      <c r="J171" t="str">
        <f>IF(LEFT(A171,3)="TK-",VLOOKUP(A171,Sheet3!A:D,4,FALSE),IF(B171="Σύνολα",SUMIF(B$1:B$200,Sheet6!K170,J$1:J$200),""))</f>
        <v/>
      </c>
      <c r="K171" t="str">
        <f>IF(B171="Σύνολα",SUMIF(B$1:B$200,Sheet6!K170,K$1:K$200),IF(ISNUMBER(E171),IF(E171&gt;J171,ROUND((E171-J171),1),""),""))</f>
        <v/>
      </c>
      <c r="L171" s="6" t="str">
        <f>IF(ISNUMBER(Sheet4!J171),IF(AND(ISNUMBER(H171),H171&gt;0,I171&gt;0),ROUNDDOWN(H171/I171,0),""),"")</f>
        <v/>
      </c>
      <c r="M171" s="6" t="str">
        <f>IF(AND(ISNUMBER(Sheet4!J171),ISNUMBER(K171)),IF(I171&lt;0,ROUNDDOWN(K171/I171,0),""),"")</f>
        <v/>
      </c>
      <c r="N171" s="29" t="str">
        <f>IF(ISNUMBER(Sheet4!H171),Sheet4!H171/1000,"")</f>
        <v/>
      </c>
    </row>
    <row r="172" spans="1:14" ht="12.75" customHeight="1" x14ac:dyDescent="0.2">
      <c r="A172" t="str">
        <f>IF(OR(Sheet4!C172="?",ISNUMBER(Sheet4!C172)),Sheet4!A172,IF(B172="Σύνολα",B171,""))</f>
        <v/>
      </c>
      <c r="B172" s="94" t="str">
        <f>IF(OR(Sheet4!D172="?",ISNUMBER(Sheet4!D172)),MID(Sheet4!B172,4,20),IF(Sheet4!B172="________________","Σύνολα",IF(MID(Sheet4!B171,4,20)="Ballast","Σύνολα","")))</f>
        <v/>
      </c>
      <c r="C172" t="str">
        <f>IF(LEFT(A172,3)="TK-",VLOOKUP(A172,Sheet3!A:B,2,FALSE),IF(B172="Σύνολα",SUMIF(B$1:B$200,Sheet6!K171,C$1:C$200),""))</f>
        <v/>
      </c>
      <c r="D172" t="str">
        <f>IF(LEFT(A172,3)="TK-",VLOOKUP(A172,Sheet3!A:C,3,FALSE),"")</f>
        <v/>
      </c>
      <c r="E172" t="str">
        <f>IF(ISNUMBER(Sheet4!D172),ROUND(Sheet4!D172,1),IF(B172="Σύνολα",SUMIF(B$1:B$200,Sheet6!K171,E$1:E$200),""))</f>
        <v/>
      </c>
      <c r="F172" s="31" t="str">
        <f>IF(ISNUMBER(Sheet4!E172),Sheet4!E172,"")</f>
        <v/>
      </c>
      <c r="G172" t="str">
        <f>IF(ISNUMBER(Sheet4!G172),ROUND(Sheet4!G172,1),IF(B172="Σύνολα",SUMIF(B$1:B$200,Sheet6!K171,G$1:G$200),""))</f>
        <v/>
      </c>
      <c r="H172" t="str">
        <f>IF(ISNUMBER(Sheet4!F172),ROUND(Sheet4!F172,1),IF(B172="Σύνολα",SUMIF(B$1:B$200,Sheet6!K171,H$1:H$200),""))</f>
        <v/>
      </c>
      <c r="I172" t="str">
        <f>IF(ISNUMBER(Sheet4!J172),ROUND(Sheet4!J172,1),IF(B172="Σύνολα",SUMIF(B$1:B$200,Sheet6!K171,I$1:I$200),""))</f>
        <v/>
      </c>
      <c r="J172" t="str">
        <f>IF(LEFT(A172,3)="TK-",VLOOKUP(A172,Sheet3!A:D,4,FALSE),IF(B172="Σύνολα",SUMIF(B$1:B$200,Sheet6!K171,J$1:J$200),""))</f>
        <v/>
      </c>
      <c r="K172" t="str">
        <f>IF(B172="Σύνολα",SUMIF(B$1:B$200,Sheet6!K171,K$1:K$200),IF(ISNUMBER(E172),IF(E172&gt;J172,ROUND((E172-J172),1),""),""))</f>
        <v/>
      </c>
      <c r="L172" s="6" t="str">
        <f>IF(ISNUMBER(Sheet4!J172),IF(AND(ISNUMBER(H172),H172&gt;0,I172&gt;0),ROUNDDOWN(H172/I172,0),""),"")</f>
        <v/>
      </c>
      <c r="M172" s="6" t="str">
        <f>IF(AND(ISNUMBER(Sheet4!J172),ISNUMBER(K172)),IF(I172&lt;0,ROUNDDOWN(K172/I172,0),""),"")</f>
        <v/>
      </c>
      <c r="N172" s="29" t="str">
        <f>IF(ISNUMBER(Sheet4!H172),Sheet4!H172/1000,"")</f>
        <v/>
      </c>
    </row>
    <row r="173" spans="1:14" ht="12.75" customHeight="1" x14ac:dyDescent="0.2">
      <c r="A173" t="str">
        <f>IF(OR(Sheet4!C173="?",ISNUMBER(Sheet4!C173)),Sheet4!A173,IF(B173="Σύνολα",B172,""))</f>
        <v/>
      </c>
      <c r="B173" s="94" t="str">
        <f>IF(OR(Sheet4!D173="?",ISNUMBER(Sheet4!D173)),MID(Sheet4!B173,4,20),IF(Sheet4!B173="________________","Σύνολα",IF(MID(Sheet4!B172,4,20)="Ballast","Σύνολα","")))</f>
        <v/>
      </c>
      <c r="C173" t="str">
        <f>IF(LEFT(A173,3)="TK-",VLOOKUP(A173,Sheet3!A:B,2,FALSE),IF(B173="Σύνολα",SUMIF(B$1:B$200,Sheet6!K172,C$1:C$200),""))</f>
        <v/>
      </c>
      <c r="D173" t="str">
        <f>IF(LEFT(A173,3)="TK-",VLOOKUP(A173,Sheet3!A:C,3,FALSE),"")</f>
        <v/>
      </c>
      <c r="E173" t="str">
        <f>IF(ISNUMBER(Sheet4!D173),ROUND(Sheet4!D173,1),IF(B173="Σύνολα",SUMIF(B$1:B$200,Sheet6!K172,E$1:E$200),""))</f>
        <v/>
      </c>
      <c r="F173" s="31" t="str">
        <f>IF(ISNUMBER(Sheet4!E173),Sheet4!E173,"")</f>
        <v/>
      </c>
      <c r="G173" t="str">
        <f>IF(ISNUMBER(Sheet4!G173),ROUND(Sheet4!G173,1),IF(B173="Σύνολα",SUMIF(B$1:B$200,Sheet6!K172,G$1:G$200),""))</f>
        <v/>
      </c>
      <c r="H173" t="str">
        <f>IF(ISNUMBER(Sheet4!F173),ROUND(Sheet4!F173,1),IF(B173="Σύνολα",SUMIF(B$1:B$200,Sheet6!K172,H$1:H$200),""))</f>
        <v/>
      </c>
      <c r="I173" t="str">
        <f>IF(ISNUMBER(Sheet4!J173),ROUND(Sheet4!J173,1),IF(B173="Σύνολα",SUMIF(B$1:B$200,Sheet6!K172,I$1:I$200),""))</f>
        <v/>
      </c>
      <c r="J173" t="str">
        <f>IF(LEFT(A173,3)="TK-",VLOOKUP(A173,Sheet3!A:D,4,FALSE),IF(B173="Σύνολα",SUMIF(B$1:B$200,Sheet6!K172,J$1:J$200),""))</f>
        <v/>
      </c>
      <c r="K173" t="str">
        <f>IF(B173="Σύνολα",SUMIF(B$1:B$200,Sheet6!K172,K$1:K$200),IF(ISNUMBER(E173),IF(E173&gt;J173,ROUND((E173-J173),1),""),""))</f>
        <v/>
      </c>
      <c r="L173" s="6" t="str">
        <f>IF(ISNUMBER(Sheet4!J173),IF(AND(ISNUMBER(H173),H173&gt;0,I173&gt;0),ROUNDDOWN(H173/I173,0),""),"")</f>
        <v/>
      </c>
      <c r="M173" s="6" t="str">
        <f>IF(AND(ISNUMBER(Sheet4!J173),ISNUMBER(K173)),IF(I173&lt;0,ROUNDDOWN(K173/I173,0),""),"")</f>
        <v/>
      </c>
      <c r="N173" s="29" t="str">
        <f>IF(ISNUMBER(Sheet4!H173),Sheet4!H173/1000,"")</f>
        <v/>
      </c>
    </row>
    <row r="174" spans="1:14" ht="12.75" customHeight="1" x14ac:dyDescent="0.2">
      <c r="A174" t="str">
        <f>IF(OR(Sheet4!C174="?",ISNUMBER(Sheet4!C174)),Sheet4!A174,IF(B174="Σύνολα",B173,""))</f>
        <v/>
      </c>
      <c r="B174" s="94" t="str">
        <f>IF(OR(Sheet4!D174="?",ISNUMBER(Sheet4!D174)),MID(Sheet4!B174,4,20),IF(Sheet4!B174="________________","Σύνολα",IF(MID(Sheet4!B173,4,20)="Ballast","Σύνολα","")))</f>
        <v/>
      </c>
      <c r="C174" t="str">
        <f>IF(LEFT(A174,3)="TK-",VLOOKUP(A174,Sheet3!A:B,2,FALSE),IF(B174="Σύνολα",SUMIF(B$1:B$200,Sheet6!K173,C$1:C$200),""))</f>
        <v/>
      </c>
      <c r="D174" t="str">
        <f>IF(LEFT(A174,3)="TK-",VLOOKUP(A174,Sheet3!A:C,3,FALSE),"")</f>
        <v/>
      </c>
      <c r="E174" t="str">
        <f>IF(ISNUMBER(Sheet4!D174),ROUND(Sheet4!D174,1),IF(B174="Σύνολα",SUMIF(B$1:B$200,Sheet6!K173,E$1:E$200),""))</f>
        <v/>
      </c>
      <c r="F174" s="31" t="str">
        <f>IF(ISNUMBER(Sheet4!E174),Sheet4!E174,"")</f>
        <v/>
      </c>
      <c r="G174" t="str">
        <f>IF(ISNUMBER(Sheet4!G174),ROUND(Sheet4!G174,1),IF(B174="Σύνολα",SUMIF(B$1:B$200,Sheet6!K173,G$1:G$200),""))</f>
        <v/>
      </c>
      <c r="H174" t="str">
        <f>IF(ISNUMBER(Sheet4!F174),ROUND(Sheet4!F174,1),IF(B174="Σύνολα",SUMIF(B$1:B$200,Sheet6!K173,H$1:H$200),""))</f>
        <v/>
      </c>
      <c r="I174" t="str">
        <f>IF(ISNUMBER(Sheet4!J174),ROUND(Sheet4!J174,1),IF(B174="Σύνολα",SUMIF(B$1:B$200,Sheet6!K173,I$1:I$200),""))</f>
        <v/>
      </c>
      <c r="J174" t="str">
        <f>IF(LEFT(A174,3)="TK-",VLOOKUP(A174,Sheet3!A:D,4,FALSE),IF(B174="Σύνολα",SUMIF(B$1:B$200,Sheet6!K173,J$1:J$200),""))</f>
        <v/>
      </c>
      <c r="K174" t="str">
        <f>IF(B174="Σύνολα",SUMIF(B$1:B$200,Sheet6!K173,K$1:K$200),IF(ISNUMBER(E174),IF(E174&gt;J174,ROUND((E174-J174),1),""),""))</f>
        <v/>
      </c>
      <c r="L174" s="6" t="str">
        <f>IF(ISNUMBER(Sheet4!J174),IF(AND(ISNUMBER(H174),H174&gt;0,I174&gt;0),ROUNDDOWN(H174/I174,0),""),"")</f>
        <v/>
      </c>
      <c r="M174" s="6" t="str">
        <f>IF(AND(ISNUMBER(Sheet4!J174),ISNUMBER(K174)),IF(I174&lt;0,ROUNDDOWN(K174/I174,0),""),"")</f>
        <v/>
      </c>
      <c r="N174" s="29" t="str">
        <f>IF(ISNUMBER(Sheet4!H174),Sheet4!H174/1000,"")</f>
        <v/>
      </c>
    </row>
    <row r="175" spans="1:14" ht="12.75" customHeight="1" x14ac:dyDescent="0.2">
      <c r="A175" t="str">
        <f>IF(OR(Sheet4!C175="?",ISNUMBER(Sheet4!C175)),Sheet4!A175,IF(B175="Σύνολα",B174,""))</f>
        <v/>
      </c>
      <c r="B175" s="94" t="str">
        <f>IF(OR(Sheet4!D175="?",ISNUMBER(Sheet4!D175)),MID(Sheet4!B175,4,20),IF(Sheet4!B175="________________","Σύνολα",IF(MID(Sheet4!B174,4,20)="Ballast","Σύνολα","")))</f>
        <v/>
      </c>
      <c r="C175" t="str">
        <f>IF(LEFT(A175,3)="TK-",VLOOKUP(A175,Sheet3!A:B,2,FALSE),IF(B175="Σύνολα",SUMIF(B$1:B$200,Sheet6!K174,C$1:C$200),""))</f>
        <v/>
      </c>
      <c r="D175" t="str">
        <f>IF(LEFT(A175,3)="TK-",VLOOKUP(A175,Sheet3!A:C,3,FALSE),"")</f>
        <v/>
      </c>
      <c r="E175" t="str">
        <f>IF(ISNUMBER(Sheet4!D175),ROUND(Sheet4!D175,1),IF(B175="Σύνολα",SUMIF(B$1:B$200,Sheet6!K174,E$1:E$200),""))</f>
        <v/>
      </c>
      <c r="F175" s="31" t="str">
        <f>IF(ISNUMBER(Sheet4!E175),Sheet4!E175,"")</f>
        <v/>
      </c>
      <c r="G175" t="str">
        <f>IF(ISNUMBER(Sheet4!G175),ROUND(Sheet4!G175,1),IF(B175="Σύνολα",SUMIF(B$1:B$200,Sheet6!K174,G$1:G$200),""))</f>
        <v/>
      </c>
      <c r="H175" t="str">
        <f>IF(ISNUMBER(Sheet4!F175),ROUND(Sheet4!F175,1),IF(B175="Σύνολα",SUMIF(B$1:B$200,Sheet6!K174,H$1:H$200),""))</f>
        <v/>
      </c>
      <c r="I175" t="str">
        <f>IF(ISNUMBER(Sheet4!J175),ROUND(Sheet4!J175,1),IF(B175="Σύνολα",SUMIF(B$1:B$200,Sheet6!K174,I$1:I$200),""))</f>
        <v/>
      </c>
      <c r="J175" t="str">
        <f>IF(LEFT(A175,3)="TK-",VLOOKUP(A175,Sheet3!A:D,4,FALSE),IF(B175="Σύνολα",SUMIF(B$1:B$200,Sheet6!K174,J$1:J$200),""))</f>
        <v/>
      </c>
      <c r="K175" t="str">
        <f>IF(B175="Σύνολα",SUMIF(B$1:B$200,Sheet6!K174,K$1:K$200),IF(ISNUMBER(E175),IF(E175&gt;J175,ROUND((E175-J175),1),""),""))</f>
        <v/>
      </c>
      <c r="L175" s="6" t="str">
        <f>IF(ISNUMBER(Sheet4!J175),IF(AND(ISNUMBER(H175),H175&gt;0,I175&gt;0),ROUNDDOWN(H175/I175,0),""),"")</f>
        <v/>
      </c>
      <c r="M175" s="6" t="str">
        <f>IF(AND(ISNUMBER(Sheet4!J175),ISNUMBER(K175)),IF(I175&lt;0,ROUNDDOWN(K175/I175,0),""),"")</f>
        <v/>
      </c>
      <c r="N175" s="29" t="str">
        <f>IF(ISNUMBER(Sheet4!H175),Sheet4!H175/1000,"")</f>
        <v/>
      </c>
    </row>
    <row r="176" spans="1:14" ht="12.75" customHeight="1" x14ac:dyDescent="0.2">
      <c r="A176" t="str">
        <f>IF(OR(Sheet4!C176="?",ISNUMBER(Sheet4!C176)),Sheet4!A176,IF(B176="Σύνολα",B175,""))</f>
        <v/>
      </c>
      <c r="B176" s="94" t="str">
        <f>IF(OR(Sheet4!D176="?",ISNUMBER(Sheet4!D176)),MID(Sheet4!B176,4,20),IF(Sheet4!B176="________________","Σύνολα",IF(MID(Sheet4!B175,4,20)="Ballast","Σύνολα","")))</f>
        <v/>
      </c>
      <c r="C176" t="str">
        <f>IF(LEFT(A176,3)="TK-",VLOOKUP(A176,Sheet3!A:B,2,FALSE),IF(B176="Σύνολα",SUMIF(B$1:B$200,Sheet6!K175,C$1:C$200),""))</f>
        <v/>
      </c>
      <c r="D176" t="str">
        <f>IF(LEFT(A176,3)="TK-",VLOOKUP(A176,Sheet3!A:C,3,FALSE),"")</f>
        <v/>
      </c>
      <c r="E176" t="str">
        <f>IF(ISNUMBER(Sheet4!D176),ROUND(Sheet4!D176,1),IF(B176="Σύνολα",SUMIF(B$1:B$200,Sheet6!K175,E$1:E$200),""))</f>
        <v/>
      </c>
      <c r="F176" s="31" t="str">
        <f>IF(ISNUMBER(Sheet4!E176),Sheet4!E176,"")</f>
        <v/>
      </c>
      <c r="G176" t="str">
        <f>IF(ISNUMBER(Sheet4!G176),ROUND(Sheet4!G176,1),IF(B176="Σύνολα",SUMIF(B$1:B$200,Sheet6!K175,G$1:G$200),""))</f>
        <v/>
      </c>
      <c r="H176" t="str">
        <f>IF(ISNUMBER(Sheet4!F176),ROUND(Sheet4!F176,1),IF(B176="Σύνολα",SUMIF(B$1:B$200,Sheet6!K175,H$1:H$200),""))</f>
        <v/>
      </c>
      <c r="I176" t="str">
        <f>IF(ISNUMBER(Sheet4!J176),ROUND(Sheet4!J176,1),IF(B176="Σύνολα",SUMIF(B$1:B$200,Sheet6!K175,I$1:I$200),""))</f>
        <v/>
      </c>
      <c r="J176" t="str">
        <f>IF(LEFT(A176,3)="TK-",VLOOKUP(A176,Sheet3!A:D,4,FALSE),IF(B176="Σύνολα",SUMIF(B$1:B$200,Sheet6!K175,J$1:J$200),""))</f>
        <v/>
      </c>
      <c r="K176" t="str">
        <f>IF(B176="Σύνολα",SUMIF(B$1:B$200,Sheet6!K175,K$1:K$200),IF(ISNUMBER(E176),IF(E176&gt;J176,ROUND((E176-J176),1),""),""))</f>
        <v/>
      </c>
      <c r="L176" s="6" t="str">
        <f>IF(ISNUMBER(Sheet4!J176),IF(AND(ISNUMBER(H176),H176&gt;0,I176&gt;0),ROUNDDOWN(H176/I176,0),""),"")</f>
        <v/>
      </c>
      <c r="M176" s="6" t="str">
        <f>IF(AND(ISNUMBER(Sheet4!J176),ISNUMBER(K176)),IF(I176&lt;0,ROUNDDOWN(K176/I176,0),""),"")</f>
        <v/>
      </c>
      <c r="N176" s="29" t="str">
        <f>IF(ISNUMBER(Sheet4!H176),Sheet4!H176/1000,"")</f>
        <v/>
      </c>
    </row>
    <row r="177" spans="1:14" ht="12.75" customHeight="1" x14ac:dyDescent="0.2">
      <c r="A177" t="str">
        <f>IF(OR(Sheet4!C177="?",ISNUMBER(Sheet4!C177)),Sheet4!A177,IF(B177="Σύνολα",B176,""))</f>
        <v/>
      </c>
      <c r="B177" s="94" t="str">
        <f>IF(OR(Sheet4!D177="?",ISNUMBER(Sheet4!D177)),MID(Sheet4!B177,4,20),IF(Sheet4!B177="________________","Σύνολα",IF(MID(Sheet4!B176,4,20)="Ballast","Σύνολα","")))</f>
        <v/>
      </c>
      <c r="C177" t="str">
        <f>IF(LEFT(A177,3)="TK-",VLOOKUP(A177,Sheet3!A:B,2,FALSE),IF(B177="Σύνολα",SUMIF(B$1:B$200,Sheet6!K176,C$1:C$200),""))</f>
        <v/>
      </c>
      <c r="D177" t="str">
        <f>IF(LEFT(A177,3)="TK-",VLOOKUP(A177,Sheet3!A:C,3,FALSE),"")</f>
        <v/>
      </c>
      <c r="E177" t="str">
        <f>IF(ISNUMBER(Sheet4!D177),ROUND(Sheet4!D177,1),IF(B177="Σύνολα",SUMIF(B$1:B$200,Sheet6!K176,E$1:E$200),""))</f>
        <v/>
      </c>
      <c r="F177" s="31" t="str">
        <f>IF(ISNUMBER(Sheet4!E177),Sheet4!E177,"")</f>
        <v/>
      </c>
      <c r="G177" t="str">
        <f>IF(ISNUMBER(Sheet4!G177),ROUND(Sheet4!G177,1),IF(B177="Σύνολα",SUMIF(B$1:B$200,Sheet6!K176,G$1:G$200),""))</f>
        <v/>
      </c>
      <c r="H177" t="str">
        <f>IF(ISNUMBER(Sheet4!F177),ROUND(Sheet4!F177,1),IF(B177="Σύνολα",SUMIF(B$1:B$200,Sheet6!K176,H$1:H$200),""))</f>
        <v/>
      </c>
      <c r="I177" t="str">
        <f>IF(ISNUMBER(Sheet4!J177),ROUND(Sheet4!J177,1),IF(B177="Σύνολα",SUMIF(B$1:B$200,Sheet6!K176,I$1:I$200),""))</f>
        <v/>
      </c>
      <c r="J177" t="str">
        <f>IF(LEFT(A177,3)="TK-",VLOOKUP(A177,Sheet3!A:D,4,FALSE),IF(B177="Σύνολα",SUMIF(B$1:B$200,Sheet6!K176,J$1:J$200),""))</f>
        <v/>
      </c>
      <c r="K177" t="str">
        <f>IF(B177="Σύνολα",SUMIF(B$1:B$200,Sheet6!K176,K$1:K$200),IF(ISNUMBER(E177),IF(E177&gt;J177,ROUND((E177-J177),1),""),""))</f>
        <v/>
      </c>
      <c r="L177" s="6" t="str">
        <f>IF(ISNUMBER(Sheet4!J177),IF(AND(ISNUMBER(H177),H177&gt;0,I177&gt;0),ROUNDDOWN(H177/I177,0),""),"")</f>
        <v/>
      </c>
      <c r="M177" s="6" t="str">
        <f>IF(AND(ISNUMBER(Sheet4!J177),ISNUMBER(K177)),IF(I177&lt;0,ROUNDDOWN(K177/I177,0),""),"")</f>
        <v/>
      </c>
      <c r="N177" s="29" t="str">
        <f>IF(ISNUMBER(Sheet4!H177),Sheet4!H177/1000,"")</f>
        <v/>
      </c>
    </row>
    <row r="178" spans="1:14" ht="12.75" customHeight="1" x14ac:dyDescent="0.2">
      <c r="A178" t="str">
        <f>IF(OR(Sheet4!C178="?",ISNUMBER(Sheet4!C178)),Sheet4!A178,IF(B178="Σύνολα",B177,""))</f>
        <v/>
      </c>
      <c r="B178" s="94" t="str">
        <f>IF(OR(Sheet4!D178="?",ISNUMBER(Sheet4!D178)),MID(Sheet4!B178,4,20),IF(Sheet4!B178="________________","Σύνολα",IF(MID(Sheet4!B177,4,20)="Ballast","Σύνολα","")))</f>
        <v/>
      </c>
      <c r="C178" t="str">
        <f>IF(LEFT(A178,3)="TK-",VLOOKUP(A178,Sheet3!A:B,2,FALSE),IF(B178="Σύνολα",SUMIF(B$1:B$200,Sheet6!K177,C$1:C$200),""))</f>
        <v/>
      </c>
      <c r="D178" t="str">
        <f>IF(LEFT(A178,3)="TK-",VLOOKUP(A178,Sheet3!A:C,3,FALSE),"")</f>
        <v/>
      </c>
      <c r="E178" t="str">
        <f>IF(ISNUMBER(Sheet4!D178),ROUND(Sheet4!D178,1),IF(B178="Σύνολα",SUMIF(B$1:B$200,Sheet6!K177,E$1:E$200),""))</f>
        <v/>
      </c>
      <c r="F178" s="31" t="str">
        <f>IF(ISNUMBER(Sheet4!E178),Sheet4!E178,"")</f>
        <v/>
      </c>
      <c r="G178" t="str">
        <f>IF(ISNUMBER(Sheet4!G178),ROUND(Sheet4!G178,1),IF(B178="Σύνολα",SUMIF(B$1:B$200,Sheet6!K177,G$1:G$200),""))</f>
        <v/>
      </c>
      <c r="H178" t="str">
        <f>IF(ISNUMBER(Sheet4!F178),ROUND(Sheet4!F178,1),IF(B178="Σύνολα",SUMIF(B$1:B$200,Sheet6!K177,H$1:H$200),""))</f>
        <v/>
      </c>
      <c r="I178" t="str">
        <f>IF(ISNUMBER(Sheet4!J178),ROUND(Sheet4!J178,1),IF(B178="Σύνολα",SUMIF(B$1:B$200,Sheet6!K177,I$1:I$200),""))</f>
        <v/>
      </c>
      <c r="J178" t="str">
        <f>IF(LEFT(A178,3)="TK-",VLOOKUP(A178,Sheet3!A:D,4,FALSE),IF(B178="Σύνολα",SUMIF(B$1:B$200,Sheet6!K177,J$1:J$200),""))</f>
        <v/>
      </c>
      <c r="K178" t="str">
        <f>IF(B178="Σύνολα",SUMIF(B$1:B$200,Sheet6!K177,K$1:K$200),IF(ISNUMBER(E178),IF(E178&gt;J178,ROUND((E178-J178),1),""),""))</f>
        <v/>
      </c>
      <c r="L178" s="6" t="str">
        <f>IF(ISNUMBER(Sheet4!J178),IF(AND(ISNUMBER(H178),H178&gt;0,I178&gt;0),ROUNDDOWN(H178/I178,0),""),"")</f>
        <v/>
      </c>
      <c r="M178" s="6" t="str">
        <f>IF(AND(ISNUMBER(Sheet4!J178),ISNUMBER(K178)),IF(I178&lt;0,ROUNDDOWN(K178/I178,0),""),"")</f>
        <v/>
      </c>
      <c r="N178" s="29" t="str">
        <f>IF(ISNUMBER(Sheet4!H178),Sheet4!H178/1000,"")</f>
        <v/>
      </c>
    </row>
    <row r="179" spans="1:14" ht="12.75" customHeight="1" x14ac:dyDescent="0.2">
      <c r="A179" t="str">
        <f>IF(OR(Sheet4!C179="?",ISNUMBER(Sheet4!C179)),Sheet4!A179,IF(B179="Σύνολα",B178,""))</f>
        <v/>
      </c>
      <c r="B179" s="94" t="str">
        <f>IF(OR(Sheet4!D179="?",ISNUMBER(Sheet4!D179)),MID(Sheet4!B179,4,20),IF(Sheet4!B179="________________","Σύνολα",IF(MID(Sheet4!B178,4,20)="Ballast","Σύνολα","")))</f>
        <v/>
      </c>
      <c r="C179" t="str">
        <f>IF(LEFT(A179,3)="TK-",VLOOKUP(A179,Sheet3!A:B,2,FALSE),IF(B179="Σύνολα",SUMIF(B$1:B$200,Sheet6!K178,C$1:C$200),""))</f>
        <v/>
      </c>
      <c r="D179" t="str">
        <f>IF(LEFT(A179,3)="TK-",VLOOKUP(A179,Sheet3!A:C,3,FALSE),"")</f>
        <v/>
      </c>
      <c r="E179" t="str">
        <f>IF(ISNUMBER(Sheet4!D179),ROUND(Sheet4!D179,1),IF(B179="Σύνολα",SUMIF(B$1:B$200,Sheet6!K178,E$1:E$200),""))</f>
        <v/>
      </c>
      <c r="F179" s="31" t="str">
        <f>IF(ISNUMBER(Sheet4!E179),Sheet4!E179,"")</f>
        <v/>
      </c>
      <c r="G179" t="str">
        <f>IF(ISNUMBER(Sheet4!G179),ROUND(Sheet4!G179,1),IF(B179="Σύνολα",SUMIF(B$1:B$200,Sheet6!K178,G$1:G$200),""))</f>
        <v/>
      </c>
      <c r="H179" t="str">
        <f>IF(ISNUMBER(Sheet4!F179),ROUND(Sheet4!F179,1),IF(B179="Σύνολα",SUMIF(B$1:B$200,Sheet6!K178,H$1:H$200),""))</f>
        <v/>
      </c>
      <c r="I179" t="str">
        <f>IF(ISNUMBER(Sheet4!J179),ROUND(Sheet4!J179,1),IF(B179="Σύνολα",SUMIF(B$1:B$200,Sheet6!K178,I$1:I$200),""))</f>
        <v/>
      </c>
      <c r="J179" t="str">
        <f>IF(LEFT(A179,3)="TK-",VLOOKUP(A179,Sheet3!A:D,4,FALSE),IF(B179="Σύνολα",SUMIF(B$1:B$200,Sheet6!K178,J$1:J$200),""))</f>
        <v/>
      </c>
      <c r="K179" t="str">
        <f>IF(B179="Σύνολα",SUMIF(B$1:B$200,Sheet6!K178,K$1:K$200),IF(ISNUMBER(E179),IF(E179&gt;J179,ROUND((E179-J179),1),""),""))</f>
        <v/>
      </c>
      <c r="L179" s="6" t="str">
        <f>IF(ISNUMBER(Sheet4!J179),IF(AND(ISNUMBER(H179),H179&gt;0,I179&gt;0),ROUNDDOWN(H179/I179,0),""),"")</f>
        <v/>
      </c>
      <c r="M179" s="6" t="str">
        <f>IF(AND(ISNUMBER(Sheet4!J179),ISNUMBER(K179)),IF(I179&lt;0,ROUNDDOWN(K179/I179,0),""),"")</f>
        <v/>
      </c>
      <c r="N179" s="29" t="str">
        <f>IF(ISNUMBER(Sheet4!H179),Sheet4!H179/1000,"")</f>
        <v/>
      </c>
    </row>
    <row r="180" spans="1:14" ht="12.75" customHeight="1" x14ac:dyDescent="0.2">
      <c r="A180" t="str">
        <f>IF(OR(Sheet4!C180="?",ISNUMBER(Sheet4!C180)),Sheet4!A180,IF(B180="Σύνολα",B179,""))</f>
        <v/>
      </c>
      <c r="B180" s="94" t="str">
        <f>IF(OR(Sheet4!D180="?",ISNUMBER(Sheet4!D180)),MID(Sheet4!B180,4,20),IF(Sheet4!B180="________________","Σύνολα",IF(MID(Sheet4!B179,4,20)="Ballast","Σύνολα","")))</f>
        <v/>
      </c>
      <c r="C180" t="str">
        <f>IF(LEFT(A180,3)="TK-",VLOOKUP(A180,Sheet3!A:B,2,FALSE),IF(B180="Σύνολα",SUMIF(B$1:B$200,Sheet6!K179,C$1:C$200),""))</f>
        <v/>
      </c>
      <c r="D180" t="str">
        <f>IF(LEFT(A180,3)="TK-",VLOOKUP(A180,Sheet3!A:C,3,FALSE),"")</f>
        <v/>
      </c>
      <c r="E180" t="str">
        <f>IF(ISNUMBER(Sheet4!D180),ROUND(Sheet4!D180,1),IF(B180="Σύνολα",SUMIF(B$1:B$200,Sheet6!K179,E$1:E$200),""))</f>
        <v/>
      </c>
      <c r="F180" s="31" t="str">
        <f>IF(ISNUMBER(Sheet4!E180),Sheet4!E180,"")</f>
        <v/>
      </c>
      <c r="G180" t="str">
        <f>IF(ISNUMBER(Sheet4!G180),ROUND(Sheet4!G180,1),IF(B180="Σύνολα",SUMIF(B$1:B$200,Sheet6!K179,G$1:G$200),""))</f>
        <v/>
      </c>
      <c r="H180" t="str">
        <f>IF(ISNUMBER(Sheet4!F180),ROUND(Sheet4!F180,1),IF(B180="Σύνολα",SUMIF(B$1:B$200,Sheet6!K179,H$1:H$200),""))</f>
        <v/>
      </c>
      <c r="I180" t="str">
        <f>IF(ISNUMBER(Sheet4!J180),ROUND(Sheet4!J180,1),IF(B180="Σύνολα",SUMIF(B$1:B$200,Sheet6!K179,I$1:I$200),""))</f>
        <v/>
      </c>
      <c r="J180" t="str">
        <f>IF(LEFT(A180,3)="TK-",VLOOKUP(A180,Sheet3!A:D,4,FALSE),IF(B180="Σύνολα",SUMIF(B$1:B$200,Sheet6!K179,J$1:J$200),""))</f>
        <v/>
      </c>
      <c r="K180" t="str">
        <f>IF(B180="Σύνολα",SUMIF(B$1:B$200,Sheet6!K179,K$1:K$200),IF(ISNUMBER(E180),IF(E180&gt;J180,ROUND((E180-J180),1),""),""))</f>
        <v/>
      </c>
      <c r="L180" s="6" t="str">
        <f>IF(ISNUMBER(Sheet4!J180),IF(AND(ISNUMBER(H180),H180&gt;0,I180&gt;0),ROUNDDOWN(H180/I180,0),""),"")</f>
        <v/>
      </c>
      <c r="M180" s="6" t="str">
        <f>IF(AND(ISNUMBER(Sheet4!J180),ISNUMBER(K180)),IF(I180&lt;0,ROUNDDOWN(K180/I180,0),""),"")</f>
        <v/>
      </c>
      <c r="N180" s="29" t="str">
        <f>IF(ISNUMBER(Sheet4!H180),Sheet4!H180/1000,"")</f>
        <v/>
      </c>
    </row>
    <row r="181" spans="1:14" ht="12.75" customHeight="1" x14ac:dyDescent="0.2">
      <c r="A181" t="str">
        <f>IF(OR(Sheet4!C181="?",ISNUMBER(Sheet4!C181)),Sheet4!A181,IF(B181="Σύνολα",B180,""))</f>
        <v/>
      </c>
      <c r="B181" s="94" t="str">
        <f>IF(OR(Sheet4!D181="?",ISNUMBER(Sheet4!D181)),MID(Sheet4!B181,4,20),IF(Sheet4!B181="________________","Σύνολα",IF(MID(Sheet4!B180,4,20)="Ballast","Σύνολα","")))</f>
        <v/>
      </c>
      <c r="C181" t="str">
        <f>IF(LEFT(A181,3)="TK-",VLOOKUP(A181,Sheet3!A:B,2,FALSE),IF(B181="Σύνολα",SUMIF(B$1:B$200,Sheet6!K180,C$1:C$200),""))</f>
        <v/>
      </c>
      <c r="D181" t="str">
        <f>IF(LEFT(A181,3)="TK-",VLOOKUP(A181,Sheet3!A:C,3,FALSE),"")</f>
        <v/>
      </c>
      <c r="E181" t="str">
        <f>IF(ISNUMBER(Sheet4!D181),ROUND(Sheet4!D181,1),IF(B181="Σύνολα",SUMIF(B$1:B$200,Sheet6!K180,E$1:E$200),""))</f>
        <v/>
      </c>
      <c r="F181" s="31" t="str">
        <f>IF(ISNUMBER(Sheet4!E181),Sheet4!E181,"")</f>
        <v/>
      </c>
      <c r="G181" t="str">
        <f>IF(ISNUMBER(Sheet4!G181),ROUND(Sheet4!G181,1),IF(B181="Σύνολα",SUMIF(B$1:B$200,Sheet6!K180,G$1:G$200),""))</f>
        <v/>
      </c>
      <c r="H181" t="str">
        <f>IF(ISNUMBER(Sheet4!F181),ROUND(Sheet4!F181,1),IF(B181="Σύνολα",SUMIF(B$1:B$200,Sheet6!K180,H$1:H$200),""))</f>
        <v/>
      </c>
      <c r="I181" t="str">
        <f>IF(ISNUMBER(Sheet4!J181),ROUND(Sheet4!J181,1),IF(B181="Σύνολα",SUMIF(B$1:B$200,Sheet6!K180,I$1:I$200),""))</f>
        <v/>
      </c>
      <c r="J181" t="str">
        <f>IF(LEFT(A181,3)="TK-",VLOOKUP(A181,Sheet3!A:D,4,FALSE),IF(B181="Σύνολα",SUMIF(B$1:B$200,Sheet6!K180,J$1:J$200),""))</f>
        <v/>
      </c>
      <c r="K181" t="str">
        <f>IF(B181="Σύνολα",SUMIF(B$1:B$200,Sheet6!K180,K$1:K$200),IF(ISNUMBER(E181),IF(E181&gt;J181,ROUND((E181-J181),1),""),""))</f>
        <v/>
      </c>
      <c r="L181" s="6" t="str">
        <f>IF(ISNUMBER(Sheet4!J181),IF(AND(ISNUMBER(H181),H181&gt;0,I181&gt;0),ROUNDDOWN(H181/I181,0),""),"")</f>
        <v/>
      </c>
      <c r="M181" s="6" t="str">
        <f>IF(AND(ISNUMBER(Sheet4!J181),ISNUMBER(K181)),IF(I181&lt;0,ROUNDDOWN(K181/I181,0),""),"")</f>
        <v/>
      </c>
      <c r="N181" s="29" t="str">
        <f>IF(ISNUMBER(Sheet4!H181),Sheet4!H181/1000,"")</f>
        <v/>
      </c>
    </row>
    <row r="182" spans="1:14" ht="12.75" customHeight="1" x14ac:dyDescent="0.2">
      <c r="A182" t="str">
        <f>IF(OR(Sheet4!C182="?",ISNUMBER(Sheet4!C182)),Sheet4!A182,IF(B182="Σύνολα",B181,""))</f>
        <v/>
      </c>
      <c r="B182" s="94" t="str">
        <f>IF(OR(Sheet4!D182="?",ISNUMBER(Sheet4!D182)),MID(Sheet4!B182,4,20),IF(Sheet4!B182="________________","Σύνολα",IF(MID(Sheet4!B181,4,20)="Ballast","Σύνολα","")))</f>
        <v/>
      </c>
      <c r="C182" t="str">
        <f>IF(LEFT(A182,3)="TK-",VLOOKUP(A182,Sheet3!A:B,2,FALSE),IF(B182="Σύνολα",SUMIF(B$1:B$200,Sheet6!K181,C$1:C$200),""))</f>
        <v/>
      </c>
      <c r="D182" t="str">
        <f>IF(LEFT(A182,3)="TK-",VLOOKUP(A182,Sheet3!A:C,3,FALSE),"")</f>
        <v/>
      </c>
      <c r="E182" t="str">
        <f>IF(ISNUMBER(Sheet4!D182),ROUND(Sheet4!D182,1),IF(B182="Σύνολα",SUMIF(B$1:B$200,Sheet6!K181,E$1:E$200),""))</f>
        <v/>
      </c>
      <c r="F182" s="31" t="str">
        <f>IF(ISNUMBER(Sheet4!E182),Sheet4!E182,"")</f>
        <v/>
      </c>
      <c r="G182" t="str">
        <f>IF(ISNUMBER(Sheet4!G182),ROUND(Sheet4!G182,1),IF(B182="Σύνολα",SUMIF(B$1:B$200,Sheet6!K181,G$1:G$200),""))</f>
        <v/>
      </c>
      <c r="H182" t="str">
        <f>IF(ISNUMBER(Sheet4!F182),ROUND(Sheet4!F182,1),IF(B182="Σύνολα",SUMIF(B$1:B$200,Sheet6!K181,H$1:H$200),""))</f>
        <v/>
      </c>
      <c r="I182" t="str">
        <f>IF(ISNUMBER(Sheet4!J182),ROUND(Sheet4!J182,1),IF(B182="Σύνολα",SUMIF(B$1:B$200,Sheet6!K181,I$1:I$200),""))</f>
        <v/>
      </c>
      <c r="J182" t="str">
        <f>IF(LEFT(A182,3)="TK-",VLOOKUP(A182,Sheet3!A:D,4,FALSE),IF(B182="Σύνολα",SUMIF(B$1:B$200,Sheet6!K181,J$1:J$200),""))</f>
        <v/>
      </c>
      <c r="K182" t="str">
        <f>IF(B182="Σύνολα",SUMIF(B$1:B$200,Sheet6!K181,K$1:K$200),IF(ISNUMBER(E182),IF(E182&gt;J182,ROUND((E182-J182),1),""),""))</f>
        <v/>
      </c>
      <c r="L182" s="6" t="str">
        <f>IF(ISNUMBER(Sheet4!J182),IF(AND(ISNUMBER(H182),H182&gt;0,I182&gt;0),ROUNDDOWN(H182/I182,0),""),"")</f>
        <v/>
      </c>
      <c r="M182" s="6" t="str">
        <f>IF(AND(ISNUMBER(Sheet4!J182),ISNUMBER(K182)),IF(I182&lt;0,ROUNDDOWN(K182/I182,0),""),"")</f>
        <v/>
      </c>
      <c r="N182" s="29" t="str">
        <f>IF(ISNUMBER(Sheet4!H182),Sheet4!H182/1000,"")</f>
        <v/>
      </c>
    </row>
    <row r="183" spans="1:14" ht="12.75" customHeight="1" x14ac:dyDescent="0.2">
      <c r="A183" t="str">
        <f>IF(OR(Sheet4!C183="?",ISNUMBER(Sheet4!C183)),Sheet4!A183,IF(B183="Σύνολα",B182,""))</f>
        <v/>
      </c>
      <c r="B183" s="94" t="str">
        <f>IF(OR(Sheet4!D183="?",ISNUMBER(Sheet4!D183)),MID(Sheet4!B183,4,20),IF(Sheet4!B183="________________","Σύνολα",IF(MID(Sheet4!B182,4,20)="Ballast","Σύνολα","")))</f>
        <v/>
      </c>
      <c r="C183" t="str">
        <f>IF(LEFT(A183,3)="TK-",VLOOKUP(A183,Sheet3!A:B,2,FALSE),IF(B183="Σύνολα",SUMIF(B$1:B$200,Sheet6!K182,C$1:C$200),""))</f>
        <v/>
      </c>
      <c r="D183" t="str">
        <f>IF(LEFT(A183,3)="TK-",VLOOKUP(A183,Sheet3!A:C,3,FALSE),"")</f>
        <v/>
      </c>
      <c r="E183" t="str">
        <f>IF(ISNUMBER(Sheet4!D183),ROUND(Sheet4!D183,1),IF(B183="Σύνολα",SUMIF(B$1:B$200,Sheet6!K182,E$1:E$200),""))</f>
        <v/>
      </c>
      <c r="F183" s="31" t="str">
        <f>IF(ISNUMBER(Sheet4!E183),Sheet4!E183,"")</f>
        <v/>
      </c>
      <c r="G183" t="str">
        <f>IF(ISNUMBER(Sheet4!G183),ROUND(Sheet4!G183,1),IF(B183="Σύνολα",SUMIF(B$1:B$200,Sheet6!K182,G$1:G$200),""))</f>
        <v/>
      </c>
      <c r="H183" t="str">
        <f>IF(ISNUMBER(Sheet4!F183),ROUND(Sheet4!F183,1),IF(B183="Σύνολα",SUMIF(B$1:B$200,Sheet6!K182,H$1:H$200),""))</f>
        <v/>
      </c>
      <c r="I183" t="str">
        <f>IF(ISNUMBER(Sheet4!J183),ROUND(Sheet4!J183,1),IF(B183="Σύνολα",SUMIF(B$1:B$200,Sheet6!K182,I$1:I$200),""))</f>
        <v/>
      </c>
      <c r="J183" t="str">
        <f>IF(LEFT(A183,3)="TK-",VLOOKUP(A183,Sheet3!A:D,4,FALSE),IF(B183="Σύνολα",SUMIF(B$1:B$200,Sheet6!K182,J$1:J$200),""))</f>
        <v/>
      </c>
      <c r="K183" t="str">
        <f>IF(B183="Σύνολα",SUMIF(B$1:B$200,Sheet6!K182,K$1:K$200),IF(ISNUMBER(E183),IF(E183&gt;J183,ROUND((E183-J183),1),""),""))</f>
        <v/>
      </c>
      <c r="L183" s="6" t="str">
        <f>IF(ISNUMBER(Sheet4!J183),IF(AND(ISNUMBER(H183),H183&gt;0,I183&gt;0),ROUNDDOWN(H183/I183,0),""),"")</f>
        <v/>
      </c>
      <c r="M183" s="6" t="str">
        <f>IF(AND(ISNUMBER(Sheet4!J183),ISNUMBER(K183)),IF(I183&lt;0,ROUNDDOWN(K183/I183,0),""),"")</f>
        <v/>
      </c>
      <c r="N183" s="29" t="str">
        <f>IF(ISNUMBER(Sheet4!H183),Sheet4!H183/1000,"")</f>
        <v/>
      </c>
    </row>
    <row r="184" spans="1:14" ht="12.75" customHeight="1" x14ac:dyDescent="0.2">
      <c r="A184" t="str">
        <f>IF(OR(Sheet4!C184="?",ISNUMBER(Sheet4!C184)),Sheet4!A184,IF(B184="Σύνολα",B183,""))</f>
        <v/>
      </c>
      <c r="B184" s="94" t="str">
        <f>IF(OR(Sheet4!D184="?",ISNUMBER(Sheet4!D184)),MID(Sheet4!B184,4,20),IF(Sheet4!B184="________________","Σύνολα",IF(MID(Sheet4!B183,4,20)="Ballast","Σύνολα","")))</f>
        <v/>
      </c>
      <c r="C184" t="str">
        <f>IF(LEFT(A184,3)="TK-",VLOOKUP(A184,Sheet3!A:B,2,FALSE),IF(B184="Σύνολα",SUMIF(B$1:B$200,Sheet6!K183,C$1:C$200),""))</f>
        <v/>
      </c>
      <c r="D184" t="str">
        <f>IF(LEFT(A184,3)="TK-",VLOOKUP(A184,Sheet3!A:C,3,FALSE),"")</f>
        <v/>
      </c>
      <c r="E184" t="str">
        <f>IF(ISNUMBER(Sheet4!D184),ROUND(Sheet4!D184,1),IF(B184="Σύνολα",SUMIF(B$1:B$200,Sheet6!K183,E$1:E$200),""))</f>
        <v/>
      </c>
      <c r="F184" s="31" t="str">
        <f>IF(ISNUMBER(Sheet4!E184),Sheet4!E184,"")</f>
        <v/>
      </c>
      <c r="G184" t="str">
        <f>IF(ISNUMBER(Sheet4!G184),ROUND(Sheet4!G184,1),IF(B184="Σύνολα",SUMIF(B$1:B$200,Sheet6!K183,G$1:G$200),""))</f>
        <v/>
      </c>
      <c r="H184" t="str">
        <f>IF(ISNUMBER(Sheet4!F184),ROUND(Sheet4!F184,1),IF(B184="Σύνολα",SUMIF(B$1:B$200,Sheet6!K183,H$1:H$200),""))</f>
        <v/>
      </c>
      <c r="I184" t="str">
        <f>IF(ISNUMBER(Sheet4!J184),ROUND(Sheet4!J184,1),IF(B184="Σύνολα",SUMIF(B$1:B$200,Sheet6!K183,I$1:I$200),""))</f>
        <v/>
      </c>
      <c r="J184" t="str">
        <f>IF(LEFT(A184,3)="TK-",VLOOKUP(A184,Sheet3!A:D,4,FALSE),IF(B184="Σύνολα",SUMIF(B$1:B$200,Sheet6!K183,J$1:J$200),""))</f>
        <v/>
      </c>
      <c r="K184" t="str">
        <f>IF(B184="Σύνολα",SUMIF(B$1:B$200,Sheet6!K183,K$1:K$200),IF(ISNUMBER(E184),IF(E184&gt;J184,ROUND((E184-J184),1),""),""))</f>
        <v/>
      </c>
      <c r="L184" s="6" t="str">
        <f>IF(ISNUMBER(Sheet4!J184),IF(AND(ISNUMBER(H184),H184&gt;0,I184&gt;0),ROUNDDOWN(H184/I184,0),""),"")</f>
        <v/>
      </c>
      <c r="M184" s="6" t="str">
        <f>IF(AND(ISNUMBER(Sheet4!J184),ISNUMBER(K184)),IF(I184&lt;0,ROUNDDOWN(K184/I184,0),""),"")</f>
        <v/>
      </c>
      <c r="N184" s="29" t="str">
        <f>IF(ISNUMBER(Sheet4!H184),Sheet4!H184/1000,"")</f>
        <v/>
      </c>
    </row>
    <row r="185" spans="1:14" ht="12.75" customHeight="1" x14ac:dyDescent="0.2">
      <c r="A185" t="str">
        <f>IF(OR(Sheet4!C185="?",ISNUMBER(Sheet4!C185)),Sheet4!A185,IF(B185="Σύνολα",B184,""))</f>
        <v/>
      </c>
      <c r="B185" s="94" t="str">
        <f>IF(OR(Sheet4!D185="?",ISNUMBER(Sheet4!D185)),MID(Sheet4!B185,4,20),IF(Sheet4!B185="________________","Σύνολα",IF(MID(Sheet4!B184,4,20)="Ballast","Σύνολα","")))</f>
        <v/>
      </c>
      <c r="C185" t="str">
        <f>IF(LEFT(A185,3)="TK-",VLOOKUP(A185,Sheet3!A:B,2,FALSE),IF(B185="Σύνολα",SUMIF(B$1:B$200,Sheet6!K184,C$1:C$200),""))</f>
        <v/>
      </c>
      <c r="D185" t="str">
        <f>IF(LEFT(A185,3)="TK-",VLOOKUP(A185,Sheet3!A:C,3,FALSE),"")</f>
        <v/>
      </c>
      <c r="E185" t="str">
        <f>IF(ISNUMBER(Sheet4!D185),ROUND(Sheet4!D185,1),IF(B185="Σύνολα",SUMIF(B$1:B$200,Sheet6!K184,E$1:E$200),""))</f>
        <v/>
      </c>
      <c r="F185" s="31" t="str">
        <f>IF(ISNUMBER(Sheet4!E185),Sheet4!E185,"")</f>
        <v/>
      </c>
      <c r="G185" t="str">
        <f>IF(ISNUMBER(Sheet4!G185),ROUND(Sheet4!G185,1),IF(B185="Σύνολα",SUMIF(B$1:B$200,Sheet6!K184,G$1:G$200),""))</f>
        <v/>
      </c>
      <c r="H185" t="str">
        <f>IF(ISNUMBER(Sheet4!F185),ROUND(Sheet4!F185,1),IF(B185="Σύνολα",SUMIF(B$1:B$200,Sheet6!K184,H$1:H$200),""))</f>
        <v/>
      </c>
      <c r="I185" t="str">
        <f>IF(ISNUMBER(Sheet4!J185),ROUND(Sheet4!J185,1),IF(B185="Σύνολα",SUMIF(B$1:B$200,Sheet6!K184,I$1:I$200),""))</f>
        <v/>
      </c>
      <c r="J185" t="str">
        <f>IF(LEFT(A185,3)="TK-",VLOOKUP(A185,Sheet3!A:D,4,FALSE),IF(B185="Σύνολα",SUMIF(B$1:B$200,Sheet6!K184,J$1:J$200),""))</f>
        <v/>
      </c>
      <c r="K185" t="str">
        <f>IF(B185="Σύνολα",SUMIF(B$1:B$200,Sheet6!K184,K$1:K$200),IF(ISNUMBER(E185),IF(E185&gt;J185,ROUND((E185-J185),1),""),""))</f>
        <v/>
      </c>
      <c r="L185" s="6" t="str">
        <f>IF(ISNUMBER(Sheet4!J185),IF(AND(ISNUMBER(H185),H185&gt;0,I185&gt;0),ROUNDDOWN(H185/I185,0),""),"")</f>
        <v/>
      </c>
      <c r="M185" s="6" t="str">
        <f>IF(AND(ISNUMBER(Sheet4!J185),ISNUMBER(K185)),IF(I185&lt;0,ROUNDDOWN(K185/I185,0),""),"")</f>
        <v/>
      </c>
      <c r="N185" s="29" t="str">
        <f>IF(ISNUMBER(Sheet4!H185),Sheet4!H185/1000,"")</f>
        <v/>
      </c>
    </row>
    <row r="186" spans="1:14" ht="12.75" customHeight="1" x14ac:dyDescent="0.2">
      <c r="A186" t="str">
        <f>IF(OR(Sheet4!C186="?",ISNUMBER(Sheet4!C186)),Sheet4!A186,IF(B186="Σύνολα",B185,""))</f>
        <v/>
      </c>
      <c r="B186" s="94" t="str">
        <f>IF(OR(Sheet4!D186="?",ISNUMBER(Sheet4!D186)),MID(Sheet4!B186,4,20),IF(Sheet4!B186="________________","Σύνολα",IF(MID(Sheet4!B185,4,20)="Ballast","Σύνολα","")))</f>
        <v/>
      </c>
      <c r="C186" t="str">
        <f>IF(LEFT(A186,3)="TK-",VLOOKUP(A186,Sheet3!A:B,2,FALSE),IF(B186="Σύνολα",SUMIF(B$1:B$200,Sheet6!K185,C$1:C$200),""))</f>
        <v/>
      </c>
      <c r="D186" t="str">
        <f>IF(LEFT(A186,3)="TK-",VLOOKUP(A186,Sheet3!A:C,3,FALSE),"")</f>
        <v/>
      </c>
      <c r="E186" t="str">
        <f>IF(ISNUMBER(Sheet4!D186),ROUND(Sheet4!D186,1),IF(B186="Σύνολα",SUMIF(B$1:B$200,Sheet6!K185,E$1:E$200),""))</f>
        <v/>
      </c>
      <c r="F186" s="31" t="str">
        <f>IF(ISNUMBER(Sheet4!E186),Sheet4!E186,"")</f>
        <v/>
      </c>
      <c r="G186" t="str">
        <f>IF(ISNUMBER(Sheet4!G186),ROUND(Sheet4!G186,1),IF(B186="Σύνολα",SUMIF(B$1:B$200,Sheet6!K185,G$1:G$200),""))</f>
        <v/>
      </c>
      <c r="H186" t="str">
        <f>IF(ISNUMBER(Sheet4!F186),ROUND(Sheet4!F186,1),IF(B186="Σύνολα",SUMIF(B$1:B$200,Sheet6!K185,H$1:H$200),""))</f>
        <v/>
      </c>
      <c r="I186" t="str">
        <f>IF(ISNUMBER(Sheet4!J186),ROUND(Sheet4!J186,1),IF(B186="Σύνολα",SUMIF(B$1:B$200,Sheet6!K185,I$1:I$200),""))</f>
        <v/>
      </c>
      <c r="J186" t="str">
        <f>IF(LEFT(A186,3)="TK-",VLOOKUP(A186,Sheet3!A:D,4,FALSE),IF(B186="Σύνολα",SUMIF(B$1:B$200,Sheet6!K185,J$1:J$200),""))</f>
        <v/>
      </c>
      <c r="K186" t="str">
        <f>IF(B186="Σύνολα",SUMIF(B$1:B$200,Sheet6!K185,K$1:K$200),IF(ISNUMBER(E186),IF(E186&gt;J186,ROUND((E186-J186),1),""),""))</f>
        <v/>
      </c>
      <c r="L186" s="6" t="str">
        <f>IF(ISNUMBER(Sheet4!J186),IF(AND(ISNUMBER(H186),H186&gt;0,I186&gt;0),ROUNDDOWN(H186/I186,0),""),"")</f>
        <v/>
      </c>
      <c r="M186" s="6" t="str">
        <f>IF(AND(ISNUMBER(Sheet4!J186),ISNUMBER(K186)),IF(I186&lt;0,ROUNDDOWN(K186/I186,0),""),"")</f>
        <v/>
      </c>
      <c r="N186" s="29" t="str">
        <f>IF(ISNUMBER(Sheet4!H186),Sheet4!H186/1000,"")</f>
        <v/>
      </c>
    </row>
    <row r="187" spans="1:14" ht="12.75" customHeight="1" x14ac:dyDescent="0.2">
      <c r="A187" t="str">
        <f>IF(OR(Sheet4!C187="?",ISNUMBER(Sheet4!C187)),Sheet4!A187,IF(B187="Σύνολα",B186,""))</f>
        <v/>
      </c>
      <c r="B187" s="94" t="str">
        <f>IF(OR(Sheet4!D187="?",ISNUMBER(Sheet4!D187)),MID(Sheet4!B187,4,20),IF(Sheet4!B187="________________","Σύνολα",IF(MID(Sheet4!B186,4,20)="Ballast","Σύνολα","")))</f>
        <v/>
      </c>
      <c r="C187" t="str">
        <f>IF(LEFT(A187,3)="TK-",VLOOKUP(A187,Sheet3!A:B,2,FALSE),IF(B187="Σύνολα",SUMIF(B$1:B$200,Sheet6!K186,C$1:C$200),""))</f>
        <v/>
      </c>
      <c r="D187" t="str">
        <f>IF(LEFT(A187,3)="TK-",VLOOKUP(A187,Sheet3!A:C,3,FALSE),"")</f>
        <v/>
      </c>
      <c r="E187" t="str">
        <f>IF(ISNUMBER(Sheet4!D187),ROUND(Sheet4!D187,1),IF(B187="Σύνολα",SUMIF(B$1:B$200,Sheet6!K186,E$1:E$200),""))</f>
        <v/>
      </c>
      <c r="F187" s="31" t="str">
        <f>IF(ISNUMBER(Sheet4!E187),Sheet4!E187,"")</f>
        <v/>
      </c>
      <c r="G187" t="str">
        <f>IF(ISNUMBER(Sheet4!G187),ROUND(Sheet4!G187,1),IF(B187="Σύνολα",SUMIF(B$1:B$200,Sheet6!K186,G$1:G$200),""))</f>
        <v/>
      </c>
      <c r="H187" t="str">
        <f>IF(ISNUMBER(Sheet4!F187),ROUND(Sheet4!F187,1),IF(B187="Σύνολα",SUMIF(B$1:B$200,Sheet6!K186,H$1:H$200),""))</f>
        <v/>
      </c>
      <c r="I187" t="str">
        <f>IF(ISNUMBER(Sheet4!J187),ROUND(Sheet4!J187,1),IF(B187="Σύνολα",SUMIF(B$1:B$200,Sheet6!K186,I$1:I$200),""))</f>
        <v/>
      </c>
      <c r="J187" t="str">
        <f>IF(LEFT(A187,3)="TK-",VLOOKUP(A187,Sheet3!A:D,4,FALSE),IF(B187="Σύνολα",SUMIF(B$1:B$200,Sheet6!K186,J$1:J$200),""))</f>
        <v/>
      </c>
      <c r="K187" t="str">
        <f>IF(B187="Σύνολα",SUMIF(B$1:B$200,Sheet6!K186,K$1:K$200),IF(ISNUMBER(E187),IF(E187&gt;J187,ROUND((E187-J187),1),""),""))</f>
        <v/>
      </c>
      <c r="L187" s="6" t="str">
        <f>IF(ISNUMBER(Sheet4!J187),IF(AND(ISNUMBER(H187),H187&gt;0,I187&gt;0),ROUNDDOWN(H187/I187,0),""),"")</f>
        <v/>
      </c>
      <c r="M187" s="6" t="str">
        <f>IF(AND(ISNUMBER(Sheet4!J187),ISNUMBER(K187)),IF(I187&lt;0,ROUNDDOWN(K187/I187,0),""),"")</f>
        <v/>
      </c>
      <c r="N187" s="29" t="str">
        <f>IF(ISNUMBER(Sheet4!H187),Sheet4!H187/1000,"")</f>
        <v/>
      </c>
    </row>
    <row r="188" spans="1:14" ht="12.75" customHeight="1" x14ac:dyDescent="0.2">
      <c r="A188" t="str">
        <f>IF(OR(Sheet4!C188="?",ISNUMBER(Sheet4!C188)),Sheet4!A188,IF(B188="Σύνολα",B187,""))</f>
        <v/>
      </c>
      <c r="B188" s="94" t="str">
        <f>IF(OR(Sheet4!D188="?",ISNUMBER(Sheet4!D188)),MID(Sheet4!B188,4,20),IF(Sheet4!B188="________________","Σύνολα",IF(MID(Sheet4!B187,4,20)="Ballast","Σύνολα","")))</f>
        <v/>
      </c>
      <c r="C188" t="str">
        <f>IF(LEFT(A188,3)="TK-",VLOOKUP(A188,Sheet3!A:B,2,FALSE),IF(B188="Σύνολα",SUMIF(B$1:B$200,Sheet6!K187,C$1:C$200),""))</f>
        <v/>
      </c>
      <c r="D188" t="str">
        <f>IF(LEFT(A188,3)="TK-",VLOOKUP(A188,Sheet3!A:C,3,FALSE),"")</f>
        <v/>
      </c>
      <c r="E188" t="str">
        <f>IF(ISNUMBER(Sheet4!D188),ROUND(Sheet4!D188,1),IF(B188="Σύνολα",SUMIF(B$1:B$200,Sheet6!K187,E$1:E$200),""))</f>
        <v/>
      </c>
      <c r="F188" s="31" t="str">
        <f>IF(ISNUMBER(Sheet4!E188),Sheet4!E188,"")</f>
        <v/>
      </c>
      <c r="G188" t="str">
        <f>IF(ISNUMBER(Sheet4!G188),ROUND(Sheet4!G188,1),IF(B188="Σύνολα",SUMIF(B$1:B$200,Sheet6!K187,G$1:G$200),""))</f>
        <v/>
      </c>
      <c r="H188" t="str">
        <f>IF(ISNUMBER(Sheet4!F188),ROUND(Sheet4!F188,1),IF(B188="Σύνολα",SUMIF(B$1:B$200,Sheet6!K187,H$1:H$200),""))</f>
        <v/>
      </c>
      <c r="I188" t="str">
        <f>IF(ISNUMBER(Sheet4!J188),ROUND(Sheet4!J188,1),IF(B188="Σύνολα",SUMIF(B$1:B$200,Sheet6!K187,I$1:I$200),""))</f>
        <v/>
      </c>
      <c r="J188" t="str">
        <f>IF(LEFT(A188,3)="TK-",VLOOKUP(A188,Sheet3!A:D,4,FALSE),IF(B188="Σύνολα",SUMIF(B$1:B$200,Sheet6!K187,J$1:J$200),""))</f>
        <v/>
      </c>
      <c r="K188" t="str">
        <f>IF(B188="Σύνολα",SUMIF(B$1:B$200,Sheet6!K187,K$1:K$200),IF(ISNUMBER(E188),IF(E188&gt;J188,ROUND((E188-J188),1),""),""))</f>
        <v/>
      </c>
      <c r="L188" s="6" t="str">
        <f>IF(ISNUMBER(Sheet4!J188),IF(AND(ISNUMBER(H188),H188&gt;0,I188&gt;0),ROUNDDOWN(H188/I188,0),""),"")</f>
        <v/>
      </c>
      <c r="M188" s="6" t="str">
        <f>IF(AND(ISNUMBER(Sheet4!J188),ISNUMBER(K188)),IF(I188&lt;0,ROUNDDOWN(K188/I188,0),""),"")</f>
        <v/>
      </c>
      <c r="N188" s="29" t="str">
        <f>IF(ISNUMBER(Sheet4!H188),Sheet4!H188/1000,"")</f>
        <v/>
      </c>
    </row>
    <row r="189" spans="1:14" ht="12.75" customHeight="1" x14ac:dyDescent="0.2">
      <c r="A189" t="str">
        <f>IF(OR(Sheet4!C189="?",ISNUMBER(Sheet4!C189)),Sheet4!A189,IF(B189="Σύνολα",B188,""))</f>
        <v/>
      </c>
      <c r="B189" s="94" t="str">
        <f>IF(OR(Sheet4!D189="?",ISNUMBER(Sheet4!D189)),MID(Sheet4!B189,4,20),IF(Sheet4!B189="________________","Σύνολα",IF(MID(Sheet4!B188,4,20)="Ballast","Σύνολα","")))</f>
        <v/>
      </c>
      <c r="C189" t="str">
        <f>IF(LEFT(A189,3)="TK-",VLOOKUP(A189,Sheet3!A:B,2,FALSE),IF(B189="Σύνολα",SUMIF(B$1:B$200,Sheet6!K188,C$1:C$200),""))</f>
        <v/>
      </c>
      <c r="D189" t="str">
        <f>IF(LEFT(A189,3)="TK-",VLOOKUP(A189,Sheet3!A:C,3,FALSE),"")</f>
        <v/>
      </c>
      <c r="E189" t="str">
        <f>IF(ISNUMBER(Sheet4!D189),ROUND(Sheet4!D189,1),IF(B189="Σύνολα",SUMIF(B$1:B$200,Sheet6!K188,E$1:E$200),""))</f>
        <v/>
      </c>
      <c r="F189" s="31" t="str">
        <f>IF(ISNUMBER(Sheet4!E189),Sheet4!E189,"")</f>
        <v/>
      </c>
      <c r="G189" t="str">
        <f>IF(ISNUMBER(Sheet4!G189),ROUND(Sheet4!G189,1),IF(B189="Σύνολα",SUMIF(B$1:B$200,Sheet6!K188,G$1:G$200),""))</f>
        <v/>
      </c>
      <c r="H189" t="str">
        <f>IF(ISNUMBER(Sheet4!F189),ROUND(Sheet4!F189,1),IF(B189="Σύνολα",SUMIF(B$1:B$200,Sheet6!K188,H$1:H$200),""))</f>
        <v/>
      </c>
      <c r="I189" t="str">
        <f>IF(ISNUMBER(Sheet4!J189),ROUND(Sheet4!J189,1),IF(B189="Σύνολα",SUMIF(B$1:B$200,Sheet6!K188,I$1:I$200),""))</f>
        <v/>
      </c>
      <c r="J189" t="str">
        <f>IF(LEFT(A189,3)="TK-",VLOOKUP(A189,Sheet3!A:D,4,FALSE),IF(B189="Σύνολα",SUMIF(B$1:B$200,Sheet6!K188,J$1:J$200),""))</f>
        <v/>
      </c>
      <c r="K189" t="str">
        <f>IF(B189="Σύνολα",SUMIF(B$1:B$200,Sheet6!K188,K$1:K$200),IF(ISNUMBER(E189),IF(E189&gt;J189,ROUND((E189-J189),1),""),""))</f>
        <v/>
      </c>
      <c r="L189" s="6" t="str">
        <f>IF(ISNUMBER(Sheet4!J189),IF(AND(ISNUMBER(H189),H189&gt;0,I189&gt;0),ROUNDDOWN(H189/I189,0),""),"")</f>
        <v/>
      </c>
      <c r="M189" s="6" t="str">
        <f>IF(AND(ISNUMBER(Sheet4!J189),ISNUMBER(K189)),IF(I189&lt;0,ROUNDDOWN(K189/I189,0),""),"")</f>
        <v/>
      </c>
      <c r="N189" s="29" t="str">
        <f>IF(ISNUMBER(Sheet4!H189),Sheet4!H189/1000,"")</f>
        <v/>
      </c>
    </row>
    <row r="190" spans="1:14" ht="12.75" customHeight="1" x14ac:dyDescent="0.2">
      <c r="A190" t="str">
        <f>IF(OR(Sheet4!C190="?",ISNUMBER(Sheet4!C190)),Sheet4!A190,IF(B190="Σύνολα",B189,""))</f>
        <v/>
      </c>
      <c r="B190" s="94" t="str">
        <f>IF(OR(Sheet4!D190="?",ISNUMBER(Sheet4!D190)),MID(Sheet4!B190,4,20),IF(Sheet4!B190="________________","Σύνολα",IF(MID(Sheet4!B189,4,20)="Ballast","Σύνολα","")))</f>
        <v/>
      </c>
      <c r="C190" t="str">
        <f>IF(LEFT(A190,3)="TK-",VLOOKUP(A190,Sheet3!A:B,2,FALSE),IF(B190="Σύνολα",SUMIF(B$1:B$200,Sheet6!K189,C$1:C$200),""))</f>
        <v/>
      </c>
      <c r="D190" t="str">
        <f>IF(LEFT(A190,3)="TK-",VLOOKUP(A190,Sheet3!A:C,3,FALSE),"")</f>
        <v/>
      </c>
      <c r="E190" t="str">
        <f>IF(ISNUMBER(Sheet4!D190),ROUND(Sheet4!D190,1),IF(B190="Σύνολα",SUMIF(B$1:B$200,Sheet6!K189,E$1:E$200),""))</f>
        <v/>
      </c>
      <c r="F190" s="31" t="str">
        <f>IF(ISNUMBER(Sheet4!E190),Sheet4!E190,"")</f>
        <v/>
      </c>
      <c r="G190" t="str">
        <f>IF(ISNUMBER(Sheet4!G190),ROUND(Sheet4!G190,1),IF(B190="Σύνολα",SUMIF(B$1:B$200,Sheet6!K189,G$1:G$200),""))</f>
        <v/>
      </c>
      <c r="H190" t="str">
        <f>IF(ISNUMBER(Sheet4!F190),ROUND(Sheet4!F190,1),IF(B190="Σύνολα",SUMIF(B$1:B$200,Sheet6!K189,H$1:H$200),""))</f>
        <v/>
      </c>
      <c r="I190" t="str">
        <f>IF(ISNUMBER(Sheet4!J190),ROUND(Sheet4!J190,1),IF(B190="Σύνολα",SUMIF(B$1:B$200,Sheet6!K189,I$1:I$200),""))</f>
        <v/>
      </c>
      <c r="J190" t="str">
        <f>IF(LEFT(A190,3)="TK-",VLOOKUP(A190,Sheet3!A:D,4,FALSE),IF(B190="Σύνολα",SUMIF(B$1:B$200,Sheet6!K189,J$1:J$200),""))</f>
        <v/>
      </c>
      <c r="K190" t="str">
        <f>IF(B190="Σύνολα",SUMIF(B$1:B$200,Sheet6!K189,K$1:K$200),IF(ISNUMBER(E190),IF(E190&gt;J190,ROUND((E190-J190),1),""),""))</f>
        <v/>
      </c>
      <c r="L190" s="6" t="str">
        <f>IF(ISNUMBER(Sheet4!J190),IF(AND(ISNUMBER(H190),H190&gt;0,I190&gt;0),ROUNDDOWN(H190/I190,0),""),"")</f>
        <v/>
      </c>
      <c r="M190" s="6" t="str">
        <f>IF(AND(ISNUMBER(Sheet4!J190),ISNUMBER(K190)),IF(I190&lt;0,ROUNDDOWN(K190/I190,0),""),"")</f>
        <v/>
      </c>
      <c r="N190" s="29" t="str">
        <f>IF(ISNUMBER(Sheet4!H190),Sheet4!H190/1000,"")</f>
        <v/>
      </c>
    </row>
    <row r="191" spans="1:14" ht="12.75" customHeight="1" x14ac:dyDescent="0.2">
      <c r="A191" t="str">
        <f>IF(OR(Sheet4!C191="?",ISNUMBER(Sheet4!C191)),Sheet4!A191,IF(B191="Σύνολα",B190,""))</f>
        <v/>
      </c>
      <c r="B191" s="94" t="str">
        <f>IF(OR(Sheet4!D191="?",ISNUMBER(Sheet4!D191)),MID(Sheet4!B191,4,20),IF(Sheet4!B191="________________","Σύνολα",IF(MID(Sheet4!B190,4,20)="Ballast","Σύνολα","")))</f>
        <v/>
      </c>
      <c r="C191" t="str">
        <f>IF(LEFT(A191,3)="TK-",VLOOKUP(A191,Sheet3!A:B,2,FALSE),IF(B191="Σύνολα",SUMIF(B$1:B$200,Sheet6!K190,C$1:C$200),""))</f>
        <v/>
      </c>
      <c r="D191" t="str">
        <f>IF(LEFT(A191,3)="TK-",VLOOKUP(A191,Sheet3!A:C,3,FALSE),"")</f>
        <v/>
      </c>
      <c r="E191" t="str">
        <f>IF(ISNUMBER(Sheet4!D191),ROUND(Sheet4!D191,1),IF(B191="Σύνολα",SUMIF(B$1:B$200,Sheet6!K190,E$1:E$200),""))</f>
        <v/>
      </c>
      <c r="F191" s="31" t="str">
        <f>IF(ISNUMBER(Sheet4!E191),Sheet4!E191,"")</f>
        <v/>
      </c>
      <c r="G191" t="str">
        <f>IF(ISNUMBER(Sheet4!G191),ROUND(Sheet4!G191,1),IF(B191="Σύνολα",SUMIF(B$1:B$200,Sheet6!K190,G$1:G$200),""))</f>
        <v/>
      </c>
      <c r="H191" t="str">
        <f>IF(ISNUMBER(Sheet4!F191),ROUND(Sheet4!F191,1),IF(B191="Σύνολα",SUMIF(B$1:B$200,Sheet6!K190,H$1:H$200),""))</f>
        <v/>
      </c>
      <c r="I191" t="str">
        <f>IF(ISNUMBER(Sheet4!J191),ROUND(Sheet4!J191,1),IF(B191="Σύνολα",SUMIF(B$1:B$200,Sheet6!K190,I$1:I$200),""))</f>
        <v/>
      </c>
      <c r="J191" t="str">
        <f>IF(LEFT(A191,3)="TK-",VLOOKUP(A191,Sheet3!A:D,4,FALSE),IF(B191="Σύνολα",SUMIF(B$1:B$200,Sheet6!K190,J$1:J$200),""))</f>
        <v/>
      </c>
      <c r="K191" t="str">
        <f>IF(B191="Σύνολα",SUMIF(B$1:B$200,Sheet6!K190,K$1:K$200),IF(ISNUMBER(E191),IF(E191&gt;J191,ROUND((E191-J191),1),""),""))</f>
        <v/>
      </c>
      <c r="L191" s="6" t="str">
        <f>IF(ISNUMBER(Sheet4!J191),IF(AND(ISNUMBER(H191),H191&gt;0,I191&gt;0),ROUNDDOWN(H191/I191,0),""),"")</f>
        <v/>
      </c>
      <c r="M191" s="6" t="str">
        <f>IF(AND(ISNUMBER(Sheet4!J191),ISNUMBER(K191)),IF(I191&lt;0,ROUNDDOWN(K191/I191,0),""),"")</f>
        <v/>
      </c>
      <c r="N191" s="29" t="str">
        <f>IF(ISNUMBER(Sheet4!H191),Sheet4!H191/1000,"")</f>
        <v/>
      </c>
    </row>
    <row r="192" spans="1:14" ht="12.75" customHeight="1" x14ac:dyDescent="0.2">
      <c r="A192" t="str">
        <f>IF(OR(Sheet4!C192="?",ISNUMBER(Sheet4!C192)),Sheet4!A192,IF(B192="Σύνολα",B191,""))</f>
        <v/>
      </c>
      <c r="B192" s="94" t="str">
        <f>IF(OR(Sheet4!D192="?",ISNUMBER(Sheet4!D192)),MID(Sheet4!B192,4,20),IF(Sheet4!B192="________________","Σύνολα",IF(MID(Sheet4!B191,4,20)="Ballast","Σύνολα","")))</f>
        <v/>
      </c>
      <c r="C192" t="str">
        <f>IF(LEFT(A192,3)="TK-",VLOOKUP(A192,Sheet3!A:B,2,FALSE),IF(B192="Σύνολα",SUMIF(B$1:B$200,Sheet6!K191,C$1:C$200),""))</f>
        <v/>
      </c>
      <c r="D192" t="str">
        <f>IF(LEFT(A192,3)="TK-",VLOOKUP(A192,Sheet3!A:C,3,FALSE),"")</f>
        <v/>
      </c>
      <c r="E192" t="str">
        <f>IF(ISNUMBER(Sheet4!D192),ROUND(Sheet4!D192,1),IF(B192="Σύνολα",SUMIF(B$1:B$200,Sheet6!K191,E$1:E$200),""))</f>
        <v/>
      </c>
      <c r="F192" s="31" t="str">
        <f>IF(ISNUMBER(Sheet4!E192),Sheet4!E192,"")</f>
        <v/>
      </c>
      <c r="G192" t="str">
        <f>IF(ISNUMBER(Sheet4!G192),ROUND(Sheet4!G192,1),IF(B192="Σύνολα",SUMIF(B$1:B$200,Sheet6!K191,G$1:G$200),""))</f>
        <v/>
      </c>
      <c r="H192" t="str">
        <f>IF(ISNUMBER(Sheet4!F192),ROUND(Sheet4!F192,1),IF(B192="Σύνολα",SUMIF(B$1:B$200,Sheet6!K191,H$1:H$200),""))</f>
        <v/>
      </c>
      <c r="I192" t="str">
        <f>IF(ISNUMBER(Sheet4!J192),ROUND(Sheet4!J192,1),IF(B192="Σύνολα",SUMIF(B$1:B$200,Sheet6!K191,I$1:I$200),""))</f>
        <v/>
      </c>
      <c r="J192" t="str">
        <f>IF(LEFT(A192,3)="TK-",VLOOKUP(A192,Sheet3!A:D,4,FALSE),IF(B192="Σύνολα",SUMIF(B$1:B$200,Sheet6!K191,J$1:J$200),""))</f>
        <v/>
      </c>
      <c r="K192" t="str">
        <f>IF(B192="Σύνολα",SUMIF(B$1:B$200,Sheet6!K191,K$1:K$200),IF(ISNUMBER(E192),IF(E192&gt;J192,ROUND((E192-J192),1),""),""))</f>
        <v/>
      </c>
      <c r="L192" s="6" t="str">
        <f>IF(ISNUMBER(Sheet4!J192),IF(AND(ISNUMBER(H192),H192&gt;0,I192&gt;0),ROUNDDOWN(H192/I192,0),""),"")</f>
        <v/>
      </c>
      <c r="M192" s="6" t="str">
        <f>IF(AND(ISNUMBER(Sheet4!J192),ISNUMBER(K192)),IF(I192&lt;0,ROUNDDOWN(K192/I192,0),""),"")</f>
        <v/>
      </c>
      <c r="N192" s="29" t="str">
        <f>IF(ISNUMBER(Sheet4!H192),Sheet4!H192/1000,"")</f>
        <v/>
      </c>
    </row>
    <row r="193" spans="1:14" ht="12.75" customHeight="1" x14ac:dyDescent="0.2">
      <c r="A193" t="str">
        <f>IF(OR(Sheet4!C193="?",ISNUMBER(Sheet4!C193)),Sheet4!A193,IF(B193="Σύνολα",B192,""))</f>
        <v/>
      </c>
      <c r="B193" s="94" t="str">
        <f>IF(OR(Sheet4!D193="?",ISNUMBER(Sheet4!D193)),MID(Sheet4!B193,4,20),IF(Sheet4!B193="________________","Σύνολα",IF(MID(Sheet4!B192,4,20)="Ballast","Σύνολα","")))</f>
        <v/>
      </c>
      <c r="C193" t="str">
        <f>IF(LEFT(A193,3)="TK-",VLOOKUP(A193,Sheet3!A:B,2,FALSE),IF(B193="Σύνολα",SUMIF(B$1:B$200,Sheet6!K192,C$1:C$200),""))</f>
        <v/>
      </c>
      <c r="D193" t="str">
        <f>IF(LEFT(A193,3)="TK-",VLOOKUP(A193,Sheet3!A:C,3,FALSE),"")</f>
        <v/>
      </c>
      <c r="E193" t="str">
        <f>IF(ISNUMBER(Sheet4!D193),ROUND(Sheet4!D193,1),IF(B193="Σύνολα",SUMIF(B$1:B$200,Sheet6!K192,E$1:E$200),""))</f>
        <v/>
      </c>
      <c r="F193" s="31" t="str">
        <f>IF(ISNUMBER(Sheet4!E193),Sheet4!E193,"")</f>
        <v/>
      </c>
      <c r="G193" t="str">
        <f>IF(ISNUMBER(Sheet4!G193),ROUND(Sheet4!G193,1),IF(B193="Σύνολα",SUMIF(B$1:B$200,Sheet6!K192,G$1:G$200),""))</f>
        <v/>
      </c>
      <c r="H193" t="str">
        <f>IF(ISNUMBER(Sheet4!F193),ROUND(Sheet4!F193,1),IF(B193="Σύνολα",SUMIF(B$1:B$200,Sheet6!K192,H$1:H$200),""))</f>
        <v/>
      </c>
      <c r="I193" t="str">
        <f>IF(ISNUMBER(Sheet4!J193),ROUND(Sheet4!J193,1),IF(B193="Σύνολα",SUMIF(B$1:B$200,Sheet6!K192,I$1:I$200),""))</f>
        <v/>
      </c>
      <c r="J193" t="str">
        <f>IF(LEFT(A193,3)="TK-",VLOOKUP(A193,Sheet3!A:D,4,FALSE),IF(B193="Σύνολα",SUMIF(B$1:B$200,Sheet6!K192,J$1:J$200),""))</f>
        <v/>
      </c>
      <c r="K193" t="str">
        <f>IF(B193="Σύνολα",SUMIF(B$1:B$200,Sheet6!K192,K$1:K$200),IF(ISNUMBER(E193),IF(E193&gt;J193,ROUND((E193-J193),1),""),""))</f>
        <v/>
      </c>
      <c r="L193" s="6" t="str">
        <f>IF(ISNUMBER(Sheet4!J193),IF(AND(ISNUMBER(H193),H193&gt;0,I193&gt;0),ROUNDDOWN(H193/I193,0),""),"")</f>
        <v/>
      </c>
      <c r="M193" s="6" t="str">
        <f>IF(AND(ISNUMBER(Sheet4!J193),ISNUMBER(K193)),IF(I193&lt;0,ROUNDDOWN(K193/I193,0),""),"")</f>
        <v/>
      </c>
      <c r="N193" s="29" t="str">
        <f>IF(ISNUMBER(Sheet4!H193),Sheet4!H193/1000,"")</f>
        <v/>
      </c>
    </row>
    <row r="194" spans="1:14" ht="12.75" customHeight="1" x14ac:dyDescent="0.2">
      <c r="A194" t="str">
        <f>IF(OR(Sheet4!C194="?",ISNUMBER(Sheet4!C194)),Sheet4!A194,IF(B194="Σύνολα",B193,""))</f>
        <v/>
      </c>
      <c r="B194" s="94" t="str">
        <f>IF(OR(Sheet4!D194="?",ISNUMBER(Sheet4!D194)),MID(Sheet4!B194,4,20),IF(Sheet4!B194="________________","Σύνολα",IF(MID(Sheet4!B193,4,20)="Ballast","Σύνολα","")))</f>
        <v/>
      </c>
      <c r="C194" t="str">
        <f>IF(LEFT(A194,3)="TK-",VLOOKUP(A194,Sheet3!A:B,2,FALSE),IF(B194="Σύνολα",SUMIF(B$1:B$200,Sheet6!K193,C$1:C$200),""))</f>
        <v/>
      </c>
      <c r="D194" t="str">
        <f>IF(LEFT(A194,3)="TK-",VLOOKUP(A194,Sheet3!A:C,3,FALSE),"")</f>
        <v/>
      </c>
      <c r="E194" t="str">
        <f>IF(ISNUMBER(Sheet4!D194),ROUND(Sheet4!D194,1),IF(B194="Σύνολα",SUMIF(B$1:B$200,Sheet6!K193,E$1:E$200),""))</f>
        <v/>
      </c>
      <c r="F194" s="31" t="str">
        <f>IF(ISNUMBER(Sheet4!E194),Sheet4!E194,"")</f>
        <v/>
      </c>
      <c r="G194" t="str">
        <f>IF(ISNUMBER(Sheet4!G194),ROUND(Sheet4!G194,1),IF(B194="Σύνολα",SUMIF(B$1:B$200,Sheet6!K193,G$1:G$200),""))</f>
        <v/>
      </c>
      <c r="H194" t="str">
        <f>IF(ISNUMBER(Sheet4!F194),ROUND(Sheet4!F194,1),IF(B194="Σύνολα",SUMIF(B$1:B$200,Sheet6!K193,H$1:H$200),""))</f>
        <v/>
      </c>
      <c r="I194" t="str">
        <f>IF(ISNUMBER(Sheet4!J194),ROUND(Sheet4!J194,1),IF(B194="Σύνολα",SUMIF(B$1:B$200,Sheet6!K193,I$1:I$200),""))</f>
        <v/>
      </c>
      <c r="J194" t="str">
        <f>IF(LEFT(A194,3)="TK-",VLOOKUP(A194,Sheet3!A:D,4,FALSE),IF(B194="Σύνολα",SUMIF(B$1:B$200,Sheet6!K193,J$1:J$200),""))</f>
        <v/>
      </c>
      <c r="K194" t="str">
        <f>IF(B194="Σύνολα",SUMIF(B$1:B$200,Sheet6!K193,K$1:K$200),IF(ISNUMBER(E194),IF(E194&gt;J194,ROUND((E194-J194),1),""),""))</f>
        <v/>
      </c>
      <c r="L194" s="6" t="str">
        <f>IF(ISNUMBER(Sheet4!J194),IF(AND(ISNUMBER(H194),H194&gt;0,I194&gt;0),ROUNDDOWN(H194/I194,0),""),"")</f>
        <v/>
      </c>
      <c r="M194" s="6" t="str">
        <f>IF(AND(ISNUMBER(Sheet4!J194),ISNUMBER(K194)),IF(I194&lt;0,ROUNDDOWN(K194/I194,0),""),"")</f>
        <v/>
      </c>
      <c r="N194" s="29" t="str">
        <f>IF(ISNUMBER(Sheet4!H194),Sheet4!H194/1000,"")</f>
        <v/>
      </c>
    </row>
    <row r="195" spans="1:14" ht="12.75" customHeight="1" x14ac:dyDescent="0.2">
      <c r="A195" t="str">
        <f>IF(OR(Sheet4!C195="?",ISNUMBER(Sheet4!C195)),Sheet4!A195,IF(B195="Σύνολα",B194,""))</f>
        <v/>
      </c>
      <c r="B195" s="94" t="str">
        <f>IF(OR(Sheet4!D195="?",ISNUMBER(Sheet4!D195)),MID(Sheet4!B195,4,20),IF(Sheet4!B195="________________","Σύνολα",IF(MID(Sheet4!B194,4,20)="Ballast","Σύνολα","")))</f>
        <v/>
      </c>
      <c r="C195" t="str">
        <f>IF(LEFT(A195,3)="TK-",VLOOKUP(A195,Sheet3!A:B,2,FALSE),IF(B195="Σύνολα",SUMIF(B$1:B$200,Sheet6!K194,C$1:C$200),""))</f>
        <v/>
      </c>
      <c r="D195" t="str">
        <f>IF(LEFT(A195,3)="TK-",VLOOKUP(A195,Sheet3!A:C,3,FALSE),"")</f>
        <v/>
      </c>
      <c r="E195" t="str">
        <f>IF(ISNUMBER(Sheet4!D195),ROUND(Sheet4!D195,1),IF(B195="Σύνολα",SUMIF(B$1:B$200,Sheet6!K194,E$1:E$200),""))</f>
        <v/>
      </c>
      <c r="F195" s="31" t="str">
        <f>IF(ISNUMBER(Sheet4!E195),Sheet4!E195,"")</f>
        <v/>
      </c>
      <c r="G195" t="str">
        <f>IF(ISNUMBER(Sheet4!G195),ROUND(Sheet4!G195,1),IF(B195="Σύνολα",SUMIF(B$1:B$200,Sheet6!K194,G$1:G$200),""))</f>
        <v/>
      </c>
      <c r="H195" t="str">
        <f>IF(ISNUMBER(Sheet4!F195),ROUND(Sheet4!F195,1),IF(B195="Σύνολα",SUMIF(B$1:B$200,Sheet6!K194,H$1:H$200),""))</f>
        <v/>
      </c>
      <c r="I195" t="str">
        <f>IF(ISNUMBER(Sheet4!J195),ROUND(Sheet4!J195,1),IF(B195="Σύνολα",SUMIF(B$1:B$200,Sheet6!K194,I$1:I$200),""))</f>
        <v/>
      </c>
      <c r="J195" t="str">
        <f>IF(LEFT(A195,3)="TK-",VLOOKUP(A195,Sheet3!A:D,4,FALSE),IF(B195="Σύνολα",SUMIF(B$1:B$200,Sheet6!K194,J$1:J$200),""))</f>
        <v/>
      </c>
      <c r="K195" t="str">
        <f>IF(B195="Σύνολα",SUMIF(B$1:B$200,Sheet6!K194,K$1:K$200),IF(ISNUMBER(E195),IF(E195&gt;J195,ROUND((E195-J195),1),""),""))</f>
        <v/>
      </c>
      <c r="L195" s="6" t="str">
        <f>IF(ISNUMBER(Sheet4!J195),IF(AND(ISNUMBER(H195),H195&gt;0,I195&gt;0),ROUNDDOWN(H195/I195,0),""),"")</f>
        <v/>
      </c>
      <c r="M195" s="6" t="str">
        <f>IF(AND(ISNUMBER(Sheet4!J195),ISNUMBER(K195)),IF(I195&lt;0,ROUNDDOWN(K195/I195,0),""),"")</f>
        <v/>
      </c>
      <c r="N195" s="29" t="str">
        <f>IF(ISNUMBER(Sheet4!H195),Sheet4!H195/1000,"")</f>
        <v/>
      </c>
    </row>
    <row r="196" spans="1:14" ht="12.75" customHeight="1" x14ac:dyDescent="0.2">
      <c r="A196" t="str">
        <f>IF(OR(Sheet4!C196="?",ISNUMBER(Sheet4!C196)),Sheet4!A196,IF(B196="Σύνολα",B195,""))</f>
        <v/>
      </c>
      <c r="B196" s="94" t="str">
        <f>IF(OR(Sheet4!D196="?",ISNUMBER(Sheet4!D196)),MID(Sheet4!B196,4,20),IF(Sheet4!B196="________________","Σύνολα",IF(MID(Sheet4!B195,4,20)="Ballast","Σύνολα","")))</f>
        <v/>
      </c>
      <c r="C196" t="str">
        <f>IF(LEFT(A196,3)="TK-",VLOOKUP(A196,Sheet3!A:B,2,FALSE),IF(B196="Σύνολα",SUMIF(B$1:B$200,Sheet6!K195,C$1:C$200),""))</f>
        <v/>
      </c>
      <c r="D196" t="str">
        <f>IF(LEFT(A196,3)="TK-",VLOOKUP(A196,Sheet3!A:C,3,FALSE),"")</f>
        <v/>
      </c>
      <c r="E196" t="str">
        <f>IF(ISNUMBER(Sheet4!D196),ROUND(Sheet4!D196,1),IF(B196="Σύνολα",SUMIF(B$1:B$200,Sheet6!K195,E$1:E$200),""))</f>
        <v/>
      </c>
      <c r="F196" s="31" t="str">
        <f>IF(ISNUMBER(Sheet4!E196),Sheet4!E196,"")</f>
        <v/>
      </c>
      <c r="G196" t="str">
        <f>IF(ISNUMBER(Sheet4!G196),ROUND(Sheet4!G196,1),IF(B196="Σύνολα",SUMIF(B$1:B$200,Sheet6!K195,G$1:G$200),""))</f>
        <v/>
      </c>
      <c r="H196" t="str">
        <f>IF(ISNUMBER(Sheet4!F196),ROUND(Sheet4!F196,1),IF(B196="Σύνολα",SUMIF(B$1:B$200,Sheet6!K195,H$1:H$200),""))</f>
        <v/>
      </c>
      <c r="I196" t="str">
        <f>IF(ISNUMBER(Sheet4!J196),ROUND(Sheet4!J196,1),IF(B196="Σύνολα",SUMIF(B$1:B$200,Sheet6!K195,I$1:I$200),""))</f>
        <v/>
      </c>
      <c r="J196" t="str">
        <f>IF(LEFT(A196,3)="TK-",VLOOKUP(A196,Sheet3!A:D,4,FALSE),IF(B196="Σύνολα",SUMIF(B$1:B$200,Sheet6!K195,J$1:J$200),""))</f>
        <v/>
      </c>
      <c r="K196" t="str">
        <f>IF(B196="Σύνολα",SUMIF(B$1:B$200,Sheet6!K195,K$1:K$200),IF(ISNUMBER(E196),IF(E196&gt;J196,ROUND((E196-J196),1),""),""))</f>
        <v/>
      </c>
      <c r="L196" s="6" t="str">
        <f>IF(ISNUMBER(Sheet4!J196),IF(AND(ISNUMBER(H196),H196&gt;0,I196&gt;0),ROUNDDOWN(H196/I196,0),""),"")</f>
        <v/>
      </c>
      <c r="M196" s="6" t="str">
        <f>IF(AND(ISNUMBER(Sheet4!J196),ISNUMBER(K196)),IF(I196&lt;0,ROUNDDOWN(K196/I196,0),""),"")</f>
        <v/>
      </c>
      <c r="N196" s="29" t="str">
        <f>IF(ISNUMBER(Sheet4!H196),Sheet4!H196/1000,"")</f>
        <v/>
      </c>
    </row>
    <row r="197" spans="1:14" ht="12.75" customHeight="1" x14ac:dyDescent="0.2">
      <c r="A197" t="str">
        <f>IF(OR(Sheet4!C197="?",ISNUMBER(Sheet4!C197)),Sheet4!A197,IF(B197="Σύνολα",B196,""))</f>
        <v/>
      </c>
      <c r="B197" s="94" t="str">
        <f>IF(OR(Sheet4!D197="?",ISNUMBER(Sheet4!D197)),MID(Sheet4!B197,4,20),IF(Sheet4!B197="________________","Σύνολα",IF(MID(Sheet4!B196,4,20)="Ballast","Σύνολα","")))</f>
        <v/>
      </c>
      <c r="C197" t="str">
        <f>IF(LEFT(A197,3)="TK-",VLOOKUP(A197,Sheet3!A:B,2,FALSE),IF(B197="Σύνολα",SUMIF(B$1:B$200,Sheet6!K196,C$1:C$200),""))</f>
        <v/>
      </c>
      <c r="D197" t="str">
        <f>IF(LEFT(A197,3)="TK-",VLOOKUP(A197,Sheet3!A:C,3,FALSE),"")</f>
        <v/>
      </c>
      <c r="E197" t="str">
        <f>IF(ISNUMBER(Sheet4!D197),ROUND(Sheet4!D197,1),IF(B197="Σύνολα",SUMIF(B$1:B$200,Sheet6!K196,E$1:E$200),""))</f>
        <v/>
      </c>
      <c r="F197" s="31" t="str">
        <f>IF(ISNUMBER(Sheet4!E197),Sheet4!E197,"")</f>
        <v/>
      </c>
      <c r="G197" t="str">
        <f>IF(ISNUMBER(Sheet4!G197),ROUND(Sheet4!G197,1),IF(B197="Σύνολα",SUMIF(B$1:B$200,Sheet6!K196,G$1:G$200),""))</f>
        <v/>
      </c>
      <c r="H197" t="str">
        <f>IF(ISNUMBER(Sheet4!F197),ROUND(Sheet4!F197,1),IF(B197="Σύνολα",SUMIF(B$1:B$200,Sheet6!K196,H$1:H$200),""))</f>
        <v/>
      </c>
      <c r="I197" t="str">
        <f>IF(ISNUMBER(Sheet4!J197),ROUND(Sheet4!J197,1),IF(B197="Σύνολα",SUMIF(B$1:B$200,Sheet6!K196,I$1:I$200),""))</f>
        <v/>
      </c>
      <c r="J197" t="str">
        <f>IF(LEFT(A197,3)="TK-",VLOOKUP(A197,Sheet3!A:D,4,FALSE),IF(B197="Σύνολα",SUMIF(B$1:B$200,Sheet6!K196,J$1:J$200),""))</f>
        <v/>
      </c>
      <c r="K197" t="str">
        <f>IF(B197="Σύνολα",SUMIF(B$1:B$200,Sheet6!K196,K$1:K$200),IF(ISNUMBER(E197),IF(E197&gt;J197,ROUND((E197-J197),1),""),""))</f>
        <v/>
      </c>
      <c r="L197" s="6" t="str">
        <f>IF(ISNUMBER(Sheet4!J197),IF(AND(ISNUMBER(H197),H197&gt;0,I197&gt;0),ROUNDDOWN(H197/I197,0),""),"")</f>
        <v/>
      </c>
      <c r="M197" s="6" t="str">
        <f>IF(AND(ISNUMBER(Sheet4!J197),ISNUMBER(K197)),IF(I197&lt;0,ROUNDDOWN(K197/I197,0),""),"")</f>
        <v/>
      </c>
      <c r="N197" s="29" t="str">
        <f>IF(ISNUMBER(Sheet4!H197),Sheet4!H197/1000,"")</f>
        <v/>
      </c>
    </row>
    <row r="198" spans="1:14" ht="12.75" customHeight="1" x14ac:dyDescent="0.2">
      <c r="A198" t="str">
        <f>IF(OR(Sheet4!C198="?",ISNUMBER(Sheet4!C198)),Sheet4!A198,IF(B198="Σύνολα",B197,""))</f>
        <v/>
      </c>
      <c r="B198" s="94" t="str">
        <f>IF(OR(Sheet4!D198="?",ISNUMBER(Sheet4!D198)),MID(Sheet4!B198,4,20),IF(Sheet4!B198="________________","Σύνολα",IF(MID(Sheet4!B197,4,20)="Ballast","Σύνολα","")))</f>
        <v/>
      </c>
      <c r="C198" t="str">
        <f>IF(LEFT(A198,3)="TK-",VLOOKUP(A198,Sheet3!A:B,2,FALSE),IF(B198="Σύνολα",SUMIF(B$1:B$200,Sheet6!K197,C$1:C$200),""))</f>
        <v/>
      </c>
      <c r="D198" t="str">
        <f>IF(LEFT(A198,3)="TK-",VLOOKUP(A198,Sheet3!A:C,3,FALSE),"")</f>
        <v/>
      </c>
      <c r="E198" t="str">
        <f>IF(ISNUMBER(Sheet4!D198),ROUND(Sheet4!D198,1),IF(B198="Σύνολα",SUMIF(B$1:B$200,Sheet6!K197,E$1:E$200),""))</f>
        <v/>
      </c>
      <c r="F198" s="31" t="str">
        <f>IF(ISNUMBER(Sheet4!E198),Sheet4!E198,"")</f>
        <v/>
      </c>
      <c r="G198" t="str">
        <f>IF(ISNUMBER(Sheet4!G198),ROUND(Sheet4!G198,1),IF(B198="Σύνολα",SUMIF(B$1:B$200,Sheet6!K197,G$1:G$200),""))</f>
        <v/>
      </c>
      <c r="H198" t="str">
        <f>IF(ISNUMBER(Sheet4!F198),ROUND(Sheet4!F198,1),IF(B198="Σύνολα",SUMIF(B$1:B$200,Sheet6!K197,H$1:H$200),""))</f>
        <v/>
      </c>
      <c r="I198" t="str">
        <f>IF(ISNUMBER(Sheet4!J198),ROUND(Sheet4!J198,1),IF(B198="Σύνολα",SUMIF(B$1:B$200,Sheet6!K197,I$1:I$200),""))</f>
        <v/>
      </c>
      <c r="J198" t="str">
        <f>IF(LEFT(A198,3)="TK-",VLOOKUP(A198,Sheet3!A:D,4,FALSE),IF(B198="Σύνολα",SUMIF(B$1:B$200,Sheet6!K197,J$1:J$200),""))</f>
        <v/>
      </c>
      <c r="K198" t="str">
        <f>IF(B198="Σύνολα",SUMIF(B$1:B$200,Sheet6!K197,K$1:K$200),IF(ISNUMBER(E198),IF(E198&gt;J198,ROUND((E198-J198),1),""),""))</f>
        <v/>
      </c>
      <c r="L198" s="6" t="str">
        <f>IF(ISNUMBER(Sheet4!J198),IF(AND(ISNUMBER(H198),H198&gt;0,I198&gt;0),ROUNDDOWN(H198/I198,0),""),"")</f>
        <v/>
      </c>
      <c r="M198" s="6" t="str">
        <f>IF(AND(ISNUMBER(Sheet4!J198),ISNUMBER(K198)),IF(I198&lt;0,ROUNDDOWN(K198/I198,0),""),"")</f>
        <v/>
      </c>
      <c r="N198" s="29" t="str">
        <f>IF(ISNUMBER(Sheet4!H198),Sheet4!H198/1000,"")</f>
        <v/>
      </c>
    </row>
    <row r="199" spans="1:14" ht="12.75" customHeight="1" x14ac:dyDescent="0.2">
      <c r="A199" t="str">
        <f>IF(OR(Sheet4!C199="?",ISNUMBER(Sheet4!C199)),Sheet4!A199,IF(B199="Σύνολα",B198,""))</f>
        <v/>
      </c>
      <c r="B199" s="94" t="str">
        <f>IF(OR(Sheet4!D199="?",ISNUMBER(Sheet4!D199)),MID(Sheet4!B199,4,20),IF(Sheet4!B199="________________","Σύνολα",IF(MID(Sheet4!B198,4,20)="Ballast","Σύνολα","")))</f>
        <v/>
      </c>
      <c r="C199" t="str">
        <f>IF(LEFT(A199,3)="TK-",VLOOKUP(A199,Sheet3!A:B,2,FALSE),IF(B199="Σύνολα",SUMIF(B$1:B$200,Sheet6!K198,C$1:C$200),""))</f>
        <v/>
      </c>
      <c r="D199" t="str">
        <f>IF(LEFT(A199,3)="TK-",VLOOKUP(A199,Sheet3!A:C,3,FALSE),"")</f>
        <v/>
      </c>
      <c r="E199" t="str">
        <f>IF(ISNUMBER(Sheet4!D199),ROUND(Sheet4!D199,1),IF(B199="Σύνολα",SUMIF(B$1:B$200,Sheet6!K198,E$1:E$200),""))</f>
        <v/>
      </c>
      <c r="F199" s="31" t="str">
        <f>IF(ISNUMBER(Sheet4!E199),Sheet4!E199,"")</f>
        <v/>
      </c>
      <c r="G199" t="str">
        <f>IF(ISNUMBER(Sheet4!G199),ROUND(Sheet4!G199,1),IF(B199="Σύνολα",SUMIF(B$1:B$200,Sheet6!K198,G$1:G$200),""))</f>
        <v/>
      </c>
      <c r="H199" t="str">
        <f>IF(ISNUMBER(Sheet4!F199),ROUND(Sheet4!F199,1),IF(B199="Σύνολα",SUMIF(B$1:B$200,Sheet6!K198,H$1:H$200),""))</f>
        <v/>
      </c>
      <c r="I199" t="str">
        <f>IF(ISNUMBER(Sheet4!J199),ROUND(Sheet4!J199,1),IF(B199="Σύνολα",SUMIF(B$1:B$200,Sheet6!K198,I$1:I$200),""))</f>
        <v/>
      </c>
      <c r="J199" t="str">
        <f>IF(LEFT(A199,3)="TK-",VLOOKUP(A199,Sheet3!A:D,4,FALSE),IF(B199="Σύνολα",SUMIF(B$1:B$200,Sheet6!K198,J$1:J$200),""))</f>
        <v/>
      </c>
      <c r="K199" t="str">
        <f>IF(B199="Σύνολα",SUMIF(B$1:B$200,Sheet6!K198,K$1:K$200),IF(ISNUMBER(E199),IF(E199&gt;J199,ROUND((E199-J199),1),""),""))</f>
        <v/>
      </c>
      <c r="L199" s="6" t="str">
        <f>IF(ISNUMBER(Sheet4!J199),IF(AND(ISNUMBER(H199),H199&gt;0,I199&gt;0),ROUNDDOWN(H199/I199,0),""),"")</f>
        <v/>
      </c>
      <c r="M199" s="6" t="str">
        <f>IF(AND(ISNUMBER(Sheet4!J199),ISNUMBER(K199)),IF(I199&lt;0,ROUNDDOWN(K199/I199,0),""),"")</f>
        <v/>
      </c>
      <c r="N199" s="29" t="str">
        <f>IF(ISNUMBER(Sheet4!H199),Sheet4!H199/1000,"")</f>
        <v/>
      </c>
    </row>
    <row r="200" spans="1:14" ht="12.75" customHeight="1" x14ac:dyDescent="0.2">
      <c r="A200" t="str">
        <f>IF(OR(Sheet4!C200="?",ISNUMBER(Sheet4!C200)),Sheet4!A200,IF(B200="Σύνολα",B199,""))</f>
        <v/>
      </c>
      <c r="B200" s="94" t="str">
        <f>IF(OR(Sheet4!D200="?",ISNUMBER(Sheet4!D200)),MID(Sheet4!B200,4,20),IF(Sheet4!B200="________________","Σύνολα",IF(MID(Sheet4!B199,4,20)="Ballast","Σύνολα","")))</f>
        <v/>
      </c>
      <c r="C200" t="str">
        <f>IF(LEFT(A200,3)="TK-",VLOOKUP(A200,Sheet3!A:B,2,FALSE),IF(B200="Σύνολα",SUMIF(B$1:B$200,Sheet6!K199,C$1:C$200),""))</f>
        <v/>
      </c>
      <c r="D200" t="str">
        <f>IF(LEFT(A200,3)="TK-",VLOOKUP(A200,Sheet3!A:C,3,FALSE),"")</f>
        <v/>
      </c>
      <c r="E200" t="str">
        <f>IF(ISNUMBER(Sheet4!D200),ROUND(Sheet4!D200,1),IF(B200="Σύνολα",SUMIF(B$1:B$200,Sheet6!K199,E$1:E$200),""))</f>
        <v/>
      </c>
      <c r="F200" s="31" t="str">
        <f>IF(ISNUMBER(Sheet4!E200),Sheet4!E200,"")</f>
        <v/>
      </c>
      <c r="G200" t="str">
        <f>IF(ISNUMBER(Sheet4!G200),ROUND(Sheet4!G200,1),IF(B200="Σύνολα",SUMIF(B$1:B$200,Sheet6!K199,G$1:G$200),""))</f>
        <v/>
      </c>
      <c r="H200" t="str">
        <f>IF(ISNUMBER(Sheet4!F200),ROUND(Sheet4!F200,1),IF(B200="Σύνολα",SUMIF(B$1:B$200,Sheet6!K199,H$1:H$200),""))</f>
        <v/>
      </c>
      <c r="I200" t="str">
        <f>IF(ISNUMBER(Sheet4!J200),ROUND(Sheet4!J200,1),IF(B200="Σύνολα",SUMIF(B$1:B$200,Sheet6!K199,I$1:I$200),""))</f>
        <v/>
      </c>
      <c r="J200" t="str">
        <f>IF(LEFT(A200,3)="TK-",VLOOKUP(A200,Sheet3!A:D,4,FALSE),IF(B200="Σύνολα",SUMIF(B$1:B$200,Sheet6!K199,J$1:J$200),""))</f>
        <v/>
      </c>
      <c r="K200" t="str">
        <f>IF(B200="Σύνολα",SUMIF(B$1:B$200,Sheet6!K199,K$1:K$200),IF(ISNUMBER(E200),IF(E200&gt;J200,ROUND((E200-J200),1),""),""))</f>
        <v/>
      </c>
      <c r="L200" s="6" t="str">
        <f>IF(ISNUMBER(Sheet4!J200),IF(AND(ISNUMBER(H200),H200&gt;0,I200&gt;0),ROUNDDOWN(H200/I200,0),""),"")</f>
        <v/>
      </c>
      <c r="M200" s="6" t="str">
        <f>IF(AND(ISNUMBER(Sheet4!J200),ISNUMBER(K200)),IF(I200&lt;0,ROUNDDOWN(K200/I200,0),""),"")</f>
        <v/>
      </c>
      <c r="N200" s="29" t="str">
        <f>IF(ISNUMBER(Sheet4!H200),Sheet4!H200/1000,"")</f>
        <v/>
      </c>
    </row>
    <row r="201" spans="1:14" x14ac:dyDescent="0.2">
      <c r="A201" t="str">
        <f>IF(OR(Sheet4!C201="?",ISNUMBER(Sheet4!C201)),Sheet4!A201,IF(B201="Σύνολα",B200,""))</f>
        <v/>
      </c>
      <c r="B201" s="94" t="str">
        <f>IF(OR(Sheet4!D201="?",ISNUMBER(Sheet4!D201)),MID(Sheet4!B201,4,20),IF(Sheet4!B201="________________","Σύνολα",IF(MID(Sheet4!B200,4,20)="Νερό","Σύνολα","")))</f>
        <v/>
      </c>
      <c r="C201" t="str">
        <f>IF(LEFT(A201,3)="TK-",VLOOKUP(A201,Sheet3!A:B,2,FALSE),IF(B201="Σύνολα",SUMIF(B$1:B$200,Sheet6!K200,C$1:C$200),""))</f>
        <v/>
      </c>
      <c r="D201" t="str">
        <f>IF(LEFT(A201,3)="TK-",VLOOKUP(A201,Sheet3!A:C,3,FALSE),"")</f>
        <v/>
      </c>
      <c r="E201" t="str">
        <f>IF(ISNUMBER(Sheet4!D201),ROUND(Sheet4!D201,1),IF(B201="Σύνολα",SUMIF(B$1:B$200,Sheet6!K200,E$1:E$200),""))</f>
        <v/>
      </c>
      <c r="F201" s="31" t="str">
        <f>IF(ISNUMBER(Sheet4!E201),Sheet4!E201,"")</f>
        <v/>
      </c>
      <c r="G201" t="str">
        <f>IF(ISNUMBER(Sheet4!G201),ROUND(Sheet4!G201,1),IF(B201="Σύνολα",SUMIF(B$1:B$200,Sheet6!K200,G$1:G$200),""))</f>
        <v/>
      </c>
      <c r="H201" t="str">
        <f>IF(ISNUMBER(Sheet4!F201),ROUND(Sheet4!F201,1),IF(B201="Σύνολα",SUMIF(B$1:B$200,Sheet6!K200,H$1:H$200),""))</f>
        <v/>
      </c>
      <c r="I201" t="str">
        <f>IF(ISNUMBER(Sheet4!J201),ROUND(Sheet4!J201,1),IF(B201="Σύνολα",SUMIF(B$1:B$200,Sheet6!K200,I$1:I$200),""))</f>
        <v/>
      </c>
      <c r="J201" t="str">
        <f>IF(LEFT(A201,3)="TK-",VLOOKUP(A201,Sheet3!A:D,4,FALSE),IF(B201="Σύνολα",SUMIF(B$1:B$200,Sheet6!K200,J$1:J$200),""))</f>
        <v/>
      </c>
      <c r="K201" t="str">
        <f>IF(B201="Σύνολα",SUMIF(B$1:B$200,Sheet6!K200,K$1:K$200),IF(ISNUMBER(E201),IF(E201&gt;J201,ROUND((E201-J201),1),""),""))</f>
        <v/>
      </c>
      <c r="L201" s="6" t="str">
        <f>IF(ISNUMBER(Sheet4!J201),IF(AND(ISNUMBER(H201),H201&gt;0,I201&gt;0),ROUNDDOWN(H201/I201,0),""),"")</f>
        <v/>
      </c>
      <c r="M201" s="6" t="str">
        <f>IF(AND(ISNUMBER(Sheet4!J201),ISNUMBER(K201)),IF(I201&lt;0,ROUNDDOWN(K201/I201,0),""),"")</f>
        <v/>
      </c>
      <c r="N201" s="29" t="str">
        <f>IF(ISNUMBER(Sheet4!H201),Sheet4!H201/1000,"")</f>
        <v/>
      </c>
    </row>
  </sheetData>
  <mergeCells count="1">
    <mergeCell ref="J1:K1"/>
  </mergeCells>
  <phoneticPr fontId="0" type="noConversion"/>
  <pageMargins left="0.75" right="0.75" top="0.7" bottom="0.62" header="0.5" footer="0.42"/>
  <pageSetup paperSize="9" orientation="landscape" horizontalDpi="204" verticalDpi="196" r:id="rId1"/>
  <headerFooter alignWithMargins="0">
    <oddHeader>&amp;A</oddHeader>
    <oddFooter>Page &amp;P</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J72"/>
  <sheetViews>
    <sheetView workbookViewId="0">
      <selection activeCell="H1" sqref="H1"/>
    </sheetView>
  </sheetViews>
  <sheetFormatPr defaultRowHeight="12.75" x14ac:dyDescent="0.2"/>
  <cols>
    <col min="1" max="1" width="8.7109375" bestFit="1" customWidth="1"/>
    <col min="2" max="2" width="11.28515625" bestFit="1" customWidth="1"/>
    <col min="3" max="3" width="12" style="6" bestFit="1" customWidth="1"/>
    <col min="4" max="4" width="11.140625" bestFit="1" customWidth="1"/>
    <col min="6" max="6" width="12.28515625" customWidth="1"/>
    <col min="7" max="7" width="10.42578125" customWidth="1"/>
    <col min="8" max="8" width="11.28515625" bestFit="1" customWidth="1"/>
  </cols>
  <sheetData>
    <row r="1" spans="1:10" x14ac:dyDescent="0.2">
      <c r="A1" t="s">
        <v>0</v>
      </c>
      <c r="B1" t="s">
        <v>104</v>
      </c>
      <c r="C1" s="6" t="s">
        <v>105</v>
      </c>
      <c r="D1" t="s">
        <v>106</v>
      </c>
      <c r="F1" s="1">
        <f ca="1">NOW()-1</f>
        <v>43538.504687152781</v>
      </c>
      <c r="H1" s="53">
        <v>43425</v>
      </c>
      <c r="I1" s="28"/>
      <c r="J1" s="28"/>
    </row>
    <row r="2" spans="1:10" x14ac:dyDescent="0.2">
      <c r="B2" s="6" t="s">
        <v>107</v>
      </c>
      <c r="C2" s="6" t="s">
        <v>108</v>
      </c>
      <c r="D2" t="s">
        <v>109</v>
      </c>
    </row>
    <row r="3" spans="1:10" x14ac:dyDescent="0.2">
      <c r="A3" t="s">
        <v>101</v>
      </c>
      <c r="B3">
        <v>293</v>
      </c>
      <c r="C3" s="6" t="s">
        <v>102</v>
      </c>
      <c r="D3">
        <v>80</v>
      </c>
    </row>
    <row r="4" spans="1:10" x14ac:dyDescent="0.2">
      <c r="A4" t="s">
        <v>103</v>
      </c>
      <c r="B4">
        <v>293</v>
      </c>
      <c r="C4" s="6" t="s">
        <v>102</v>
      </c>
      <c r="D4">
        <v>80</v>
      </c>
    </row>
    <row r="5" spans="1:10" x14ac:dyDescent="0.2">
      <c r="A5" t="s">
        <v>46</v>
      </c>
      <c r="B5">
        <v>2667</v>
      </c>
      <c r="C5" s="6" t="s">
        <v>152</v>
      </c>
      <c r="D5">
        <v>130</v>
      </c>
    </row>
    <row r="6" spans="1:10" x14ac:dyDescent="0.2">
      <c r="A6" t="s">
        <v>37</v>
      </c>
      <c r="B6">
        <v>1547</v>
      </c>
      <c r="C6" s="6" t="s">
        <v>153</v>
      </c>
      <c r="D6">
        <v>90</v>
      </c>
    </row>
    <row r="7" spans="1:10" x14ac:dyDescent="0.2">
      <c r="A7" t="s">
        <v>40</v>
      </c>
      <c r="B7">
        <v>1841</v>
      </c>
      <c r="C7" s="6" t="s">
        <v>41</v>
      </c>
      <c r="D7">
        <v>100</v>
      </c>
      <c r="F7" s="1"/>
    </row>
    <row r="8" spans="1:10" x14ac:dyDescent="0.2">
      <c r="A8" t="s">
        <v>38</v>
      </c>
      <c r="B8">
        <v>10791</v>
      </c>
      <c r="C8" s="6" t="s">
        <v>39</v>
      </c>
      <c r="D8">
        <v>710</v>
      </c>
      <c r="F8" s="1"/>
    </row>
    <row r="9" spans="1:10" x14ac:dyDescent="0.2">
      <c r="A9" t="s">
        <v>27</v>
      </c>
      <c r="B9">
        <v>4470</v>
      </c>
      <c r="C9" s="6" t="s">
        <v>154</v>
      </c>
      <c r="D9">
        <v>300</v>
      </c>
    </row>
    <row r="10" spans="1:10" x14ac:dyDescent="0.2">
      <c r="A10" t="s">
        <v>83</v>
      </c>
      <c r="B10">
        <v>6914</v>
      </c>
      <c r="C10" s="6" t="s">
        <v>172</v>
      </c>
      <c r="D10">
        <v>650</v>
      </c>
    </row>
    <row r="11" spans="1:10" x14ac:dyDescent="0.2">
      <c r="A11" t="s">
        <v>28</v>
      </c>
      <c r="B11">
        <v>1703</v>
      </c>
      <c r="C11" s="6" t="s">
        <v>30</v>
      </c>
      <c r="D11">
        <v>300</v>
      </c>
    </row>
    <row r="12" spans="1:10" x14ac:dyDescent="0.2">
      <c r="A12" t="s">
        <v>12</v>
      </c>
      <c r="B12" s="5">
        <v>36892</v>
      </c>
      <c r="C12" s="6" t="s">
        <v>143</v>
      </c>
      <c r="D12">
        <v>6200</v>
      </c>
    </row>
    <row r="13" spans="1:10" x14ac:dyDescent="0.2">
      <c r="A13" t="s">
        <v>14</v>
      </c>
      <c r="B13">
        <v>36643</v>
      </c>
      <c r="C13" s="6" t="s">
        <v>169</v>
      </c>
      <c r="D13">
        <v>6200</v>
      </c>
    </row>
    <row r="14" spans="1:10" x14ac:dyDescent="0.2">
      <c r="A14" t="s">
        <v>15</v>
      </c>
      <c r="B14">
        <v>36665</v>
      </c>
      <c r="C14" s="6" t="s">
        <v>144</v>
      </c>
      <c r="D14">
        <v>6200</v>
      </c>
    </row>
    <row r="15" spans="1:10" x14ac:dyDescent="0.2">
      <c r="A15" t="s">
        <v>16</v>
      </c>
      <c r="B15">
        <v>36659</v>
      </c>
      <c r="C15" s="6" t="s">
        <v>145</v>
      </c>
      <c r="D15">
        <v>6200</v>
      </c>
    </row>
    <row r="16" spans="1:10" x14ac:dyDescent="0.2">
      <c r="A16" t="s">
        <v>17</v>
      </c>
      <c r="B16">
        <v>35553</v>
      </c>
      <c r="C16" s="6" t="s">
        <v>161</v>
      </c>
      <c r="D16">
        <v>6200</v>
      </c>
    </row>
    <row r="17" spans="1:7" x14ac:dyDescent="0.2">
      <c r="A17" t="s">
        <v>18</v>
      </c>
      <c r="B17">
        <v>58532</v>
      </c>
      <c r="C17" s="6" t="s">
        <v>19</v>
      </c>
      <c r="D17">
        <v>9550</v>
      </c>
    </row>
    <row r="18" spans="1:7" x14ac:dyDescent="0.2">
      <c r="A18" t="s">
        <v>55</v>
      </c>
      <c r="B18">
        <v>9144</v>
      </c>
      <c r="C18" s="6" t="s">
        <v>56</v>
      </c>
      <c r="D18">
        <v>640</v>
      </c>
    </row>
    <row r="19" spans="1:7" x14ac:dyDescent="0.2">
      <c r="A19" t="s">
        <v>24</v>
      </c>
      <c r="B19">
        <v>9784</v>
      </c>
      <c r="C19" s="6" t="s">
        <v>146</v>
      </c>
      <c r="D19">
        <v>550</v>
      </c>
    </row>
    <row r="20" spans="1:7" x14ac:dyDescent="0.2">
      <c r="A20" t="s">
        <v>25</v>
      </c>
      <c r="B20">
        <v>2545</v>
      </c>
      <c r="C20" s="6" t="s">
        <v>26</v>
      </c>
      <c r="D20">
        <v>200</v>
      </c>
    </row>
    <row r="21" spans="1:7" x14ac:dyDescent="0.2">
      <c r="A21" t="s">
        <v>20</v>
      </c>
      <c r="B21">
        <v>150</v>
      </c>
      <c r="D21">
        <v>30</v>
      </c>
    </row>
    <row r="22" spans="1:7" x14ac:dyDescent="0.2">
      <c r="A22" t="s">
        <v>22</v>
      </c>
      <c r="B22">
        <v>440</v>
      </c>
      <c r="D22">
        <v>80</v>
      </c>
    </row>
    <row r="23" spans="1:7" x14ac:dyDescent="0.2">
      <c r="A23" t="s">
        <v>31</v>
      </c>
      <c r="B23">
        <v>1548</v>
      </c>
      <c r="C23" s="6" t="s">
        <v>163</v>
      </c>
      <c r="D23">
        <v>90</v>
      </c>
      <c r="G23" s="4"/>
    </row>
    <row r="24" spans="1:7" x14ac:dyDescent="0.2">
      <c r="A24" t="s">
        <v>78</v>
      </c>
      <c r="B24">
        <v>648</v>
      </c>
      <c r="C24" s="6" t="s">
        <v>79</v>
      </c>
      <c r="D24">
        <v>50</v>
      </c>
      <c r="G24" s="4"/>
    </row>
    <row r="25" spans="1:7" x14ac:dyDescent="0.2">
      <c r="A25" t="s">
        <v>42</v>
      </c>
      <c r="B25">
        <v>6178</v>
      </c>
      <c r="C25" s="6" t="s">
        <v>43</v>
      </c>
      <c r="D25">
        <v>450</v>
      </c>
      <c r="G25" s="4"/>
    </row>
    <row r="26" spans="1:7" x14ac:dyDescent="0.2">
      <c r="A26" t="s">
        <v>44</v>
      </c>
      <c r="B26">
        <v>6190</v>
      </c>
      <c r="C26" s="6" t="s">
        <v>45</v>
      </c>
      <c r="D26">
        <v>450</v>
      </c>
    </row>
    <row r="27" spans="1:7" x14ac:dyDescent="0.2">
      <c r="A27" t="s">
        <v>21</v>
      </c>
      <c r="B27">
        <v>410</v>
      </c>
      <c r="D27">
        <v>60</v>
      </c>
    </row>
    <row r="28" spans="1:7" x14ac:dyDescent="0.2">
      <c r="A28" t="s">
        <v>23</v>
      </c>
      <c r="B28">
        <v>2700</v>
      </c>
      <c r="D28">
        <v>30</v>
      </c>
    </row>
    <row r="29" spans="1:7" x14ac:dyDescent="0.2">
      <c r="A29" t="s">
        <v>51</v>
      </c>
      <c r="B29">
        <v>4099</v>
      </c>
      <c r="C29" s="6" t="s">
        <v>52</v>
      </c>
      <c r="D29">
        <v>280</v>
      </c>
    </row>
    <row r="30" spans="1:7" x14ac:dyDescent="0.2">
      <c r="A30" t="s">
        <v>53</v>
      </c>
      <c r="B30">
        <v>4099</v>
      </c>
      <c r="C30" s="6" t="s">
        <v>54</v>
      </c>
      <c r="D30">
        <v>280</v>
      </c>
    </row>
    <row r="31" spans="1:7" x14ac:dyDescent="0.2">
      <c r="A31" t="s">
        <v>57</v>
      </c>
      <c r="B31">
        <v>6730</v>
      </c>
      <c r="C31" s="6" t="s">
        <v>58</v>
      </c>
      <c r="D31">
        <v>320</v>
      </c>
    </row>
    <row r="32" spans="1:7" x14ac:dyDescent="0.2">
      <c r="A32" t="s">
        <v>59</v>
      </c>
      <c r="B32">
        <v>6744</v>
      </c>
      <c r="C32" s="6" t="s">
        <v>60</v>
      </c>
      <c r="D32">
        <v>320</v>
      </c>
    </row>
    <row r="33" spans="1:4" x14ac:dyDescent="0.2">
      <c r="A33" t="s">
        <v>67</v>
      </c>
      <c r="B33">
        <v>8832</v>
      </c>
      <c r="C33" s="6" t="s">
        <v>68</v>
      </c>
      <c r="D33">
        <v>440</v>
      </c>
    </row>
    <row r="34" spans="1:4" x14ac:dyDescent="0.2">
      <c r="A34" t="s">
        <v>113</v>
      </c>
      <c r="B34">
        <v>6533</v>
      </c>
      <c r="C34" s="6" t="s">
        <v>142</v>
      </c>
      <c r="D34">
        <v>310</v>
      </c>
    </row>
    <row r="35" spans="1:4" x14ac:dyDescent="0.2">
      <c r="A35" t="s">
        <v>69</v>
      </c>
      <c r="B35">
        <v>6541</v>
      </c>
      <c r="C35" s="6" t="s">
        <v>70</v>
      </c>
      <c r="D35">
        <v>320</v>
      </c>
    </row>
    <row r="36" spans="1:4" x14ac:dyDescent="0.2">
      <c r="A36" t="s">
        <v>71</v>
      </c>
      <c r="B36">
        <v>10499</v>
      </c>
      <c r="C36" s="6" t="s">
        <v>184</v>
      </c>
      <c r="D36">
        <v>530</v>
      </c>
    </row>
    <row r="37" spans="1:4" x14ac:dyDescent="0.2">
      <c r="A37" t="s">
        <v>80</v>
      </c>
      <c r="B37">
        <v>1558</v>
      </c>
      <c r="C37" s="6" t="s">
        <v>81</v>
      </c>
      <c r="D37">
        <v>70</v>
      </c>
    </row>
    <row r="38" spans="1:4" x14ac:dyDescent="0.2">
      <c r="A38" t="s">
        <v>84</v>
      </c>
      <c r="B38">
        <v>19446</v>
      </c>
      <c r="C38" s="6" t="s">
        <v>147</v>
      </c>
      <c r="D38">
        <v>950</v>
      </c>
    </row>
    <row r="39" spans="1:4" x14ac:dyDescent="0.2">
      <c r="A39" t="s">
        <v>85</v>
      </c>
      <c r="B39">
        <v>3630</v>
      </c>
      <c r="C39" s="6" t="s">
        <v>148</v>
      </c>
      <c r="D39">
        <v>170</v>
      </c>
    </row>
    <row r="40" spans="1:4" x14ac:dyDescent="0.2">
      <c r="A40" t="s">
        <v>86</v>
      </c>
      <c r="B40">
        <v>18179</v>
      </c>
      <c r="C40" s="6" t="s">
        <v>168</v>
      </c>
      <c r="D40">
        <v>950</v>
      </c>
    </row>
    <row r="41" spans="1:4" x14ac:dyDescent="0.2">
      <c r="A41" t="s">
        <v>95</v>
      </c>
      <c r="B41">
        <v>14991</v>
      </c>
      <c r="C41" s="6" t="s">
        <v>166</v>
      </c>
      <c r="D41">
        <v>970</v>
      </c>
    </row>
    <row r="42" spans="1:4" x14ac:dyDescent="0.2">
      <c r="A42" t="s">
        <v>96</v>
      </c>
      <c r="B42">
        <v>1301</v>
      </c>
      <c r="C42" s="6" t="s">
        <v>170</v>
      </c>
      <c r="D42">
        <v>150</v>
      </c>
    </row>
    <row r="43" spans="1:4" x14ac:dyDescent="0.2">
      <c r="A43" t="s">
        <v>97</v>
      </c>
      <c r="B43">
        <v>1499</v>
      </c>
      <c r="C43" s="6" t="s">
        <v>149</v>
      </c>
      <c r="D43">
        <v>150</v>
      </c>
    </row>
    <row r="44" spans="1:4" x14ac:dyDescent="0.2">
      <c r="A44" t="s">
        <v>47</v>
      </c>
      <c r="B44">
        <v>1189</v>
      </c>
      <c r="C44" s="6" t="s">
        <v>48</v>
      </c>
      <c r="D44">
        <v>90</v>
      </c>
    </row>
    <row r="45" spans="1:4" x14ac:dyDescent="0.2">
      <c r="A45" t="s">
        <v>61</v>
      </c>
      <c r="B45">
        <v>8654</v>
      </c>
      <c r="C45" s="6" t="s">
        <v>62</v>
      </c>
      <c r="D45">
        <v>500</v>
      </c>
    </row>
    <row r="46" spans="1:4" x14ac:dyDescent="0.2">
      <c r="A46" t="s">
        <v>82</v>
      </c>
      <c r="B46">
        <v>4470</v>
      </c>
      <c r="C46" s="6" t="s">
        <v>164</v>
      </c>
      <c r="D46">
        <v>250</v>
      </c>
    </row>
    <row r="47" spans="1:4" x14ac:dyDescent="0.2">
      <c r="A47" t="s">
        <v>72</v>
      </c>
      <c r="B47">
        <v>8202</v>
      </c>
      <c r="C47" s="6" t="s">
        <v>73</v>
      </c>
      <c r="D47">
        <v>530</v>
      </c>
    </row>
    <row r="48" spans="1:4" x14ac:dyDescent="0.2">
      <c r="A48" t="s">
        <v>98</v>
      </c>
      <c r="B48">
        <v>4748</v>
      </c>
      <c r="C48" s="6" t="s">
        <v>150</v>
      </c>
      <c r="D48">
        <v>280</v>
      </c>
    </row>
    <row r="49" spans="1:4" x14ac:dyDescent="0.2">
      <c r="A49" t="s">
        <v>49</v>
      </c>
      <c r="B49">
        <v>473</v>
      </c>
      <c r="C49" s="6" t="s">
        <v>50</v>
      </c>
      <c r="D49">
        <v>290</v>
      </c>
    </row>
    <row r="50" spans="1:4" x14ac:dyDescent="0.2">
      <c r="A50" t="s">
        <v>63</v>
      </c>
      <c r="B50">
        <v>1472</v>
      </c>
      <c r="C50" s="6" t="s">
        <v>64</v>
      </c>
      <c r="D50">
        <v>150</v>
      </c>
    </row>
    <row r="51" spans="1:4" x14ac:dyDescent="0.2">
      <c r="A51" t="s">
        <v>99</v>
      </c>
      <c r="B51">
        <v>4589</v>
      </c>
      <c r="C51" s="6" t="s">
        <v>100</v>
      </c>
      <c r="D51">
        <v>1000</v>
      </c>
    </row>
    <row r="52" spans="1:4" x14ac:dyDescent="0.2">
      <c r="A52" t="s">
        <v>65</v>
      </c>
      <c r="B52">
        <v>138</v>
      </c>
      <c r="C52" s="6" t="s">
        <v>66</v>
      </c>
      <c r="D52">
        <v>20</v>
      </c>
    </row>
    <row r="53" spans="1:4" x14ac:dyDescent="0.2">
      <c r="A53" t="s">
        <v>91</v>
      </c>
      <c r="B53">
        <v>2797</v>
      </c>
      <c r="C53" s="6" t="s">
        <v>92</v>
      </c>
      <c r="D53">
        <v>150</v>
      </c>
    </row>
    <row r="54" spans="1:4" x14ac:dyDescent="0.2">
      <c r="A54" t="s">
        <v>93</v>
      </c>
      <c r="B54">
        <v>23384</v>
      </c>
      <c r="C54" s="6" t="s">
        <v>151</v>
      </c>
      <c r="D54">
        <v>1220</v>
      </c>
    </row>
    <row r="55" spans="1:4" x14ac:dyDescent="0.2">
      <c r="A55" t="s">
        <v>94</v>
      </c>
      <c r="B55">
        <v>23330</v>
      </c>
      <c r="C55" s="6" t="s">
        <v>165</v>
      </c>
      <c r="D55">
        <v>1220</v>
      </c>
    </row>
    <row r="56" spans="1:4" x14ac:dyDescent="0.2">
      <c r="A56" t="s">
        <v>74</v>
      </c>
      <c r="B56">
        <v>18674</v>
      </c>
      <c r="C56" s="6" t="s">
        <v>75</v>
      </c>
      <c r="D56">
        <v>1100</v>
      </c>
    </row>
    <row r="57" spans="1:4" x14ac:dyDescent="0.2">
      <c r="A57" t="s">
        <v>32</v>
      </c>
      <c r="B57">
        <v>18351</v>
      </c>
      <c r="C57" s="6" t="s">
        <v>185</v>
      </c>
      <c r="D57">
        <v>1430</v>
      </c>
    </row>
    <row r="58" spans="1:4" x14ac:dyDescent="0.2">
      <c r="A58" t="s">
        <v>33</v>
      </c>
      <c r="B58">
        <v>7409</v>
      </c>
      <c r="C58" s="6" t="s">
        <v>34</v>
      </c>
      <c r="D58">
        <v>550</v>
      </c>
    </row>
    <row r="59" spans="1:4" x14ac:dyDescent="0.2">
      <c r="A59" t="s">
        <v>90</v>
      </c>
      <c r="B59">
        <v>23201</v>
      </c>
      <c r="C59" s="6" t="s">
        <v>171</v>
      </c>
      <c r="D59">
        <v>1200</v>
      </c>
    </row>
    <row r="60" spans="1:4" x14ac:dyDescent="0.2">
      <c r="A60" t="s">
        <v>87</v>
      </c>
      <c r="B60">
        <v>23144</v>
      </c>
      <c r="C60" s="6" t="s">
        <v>88</v>
      </c>
      <c r="D60">
        <v>1200</v>
      </c>
    </row>
    <row r="61" spans="1:4" x14ac:dyDescent="0.2">
      <c r="A61" t="s">
        <v>76</v>
      </c>
      <c r="B61">
        <v>13675</v>
      </c>
      <c r="C61" s="6" t="s">
        <v>77</v>
      </c>
      <c r="D61">
        <v>650</v>
      </c>
    </row>
    <row r="62" spans="1:4" x14ac:dyDescent="0.2">
      <c r="A62" t="s">
        <v>35</v>
      </c>
      <c r="B62">
        <v>23600</v>
      </c>
      <c r="C62" s="6" t="s">
        <v>36</v>
      </c>
      <c r="D62">
        <v>1470</v>
      </c>
    </row>
    <row r="63" spans="1:4" x14ac:dyDescent="0.2">
      <c r="A63" t="s">
        <v>89</v>
      </c>
      <c r="B63">
        <v>11180</v>
      </c>
      <c r="C63" s="6" t="s">
        <v>183</v>
      </c>
      <c r="D63">
        <v>386</v>
      </c>
    </row>
    <row r="64" spans="1:4" x14ac:dyDescent="0.2">
      <c r="A64" t="s">
        <v>187</v>
      </c>
      <c r="B64">
        <v>3340</v>
      </c>
      <c r="C64" s="6">
        <v>0</v>
      </c>
      <c r="D64">
        <v>30</v>
      </c>
    </row>
    <row r="65" spans="1:4" x14ac:dyDescent="0.2">
      <c r="A65" t="s">
        <v>162</v>
      </c>
      <c r="B65">
        <v>28706</v>
      </c>
      <c r="C65" s="6" t="s">
        <v>167</v>
      </c>
      <c r="D65">
        <v>1500</v>
      </c>
    </row>
    <row r="66" spans="1:4" x14ac:dyDescent="0.2">
      <c r="A66" t="s">
        <v>155</v>
      </c>
      <c r="B66">
        <v>77207</v>
      </c>
      <c r="C66" s="6" t="s">
        <v>157</v>
      </c>
      <c r="D66">
        <v>10870</v>
      </c>
    </row>
    <row r="67" spans="1:4" x14ac:dyDescent="0.2">
      <c r="A67" t="s">
        <v>156</v>
      </c>
      <c r="B67">
        <v>77209</v>
      </c>
      <c r="C67" s="6" t="s">
        <v>158</v>
      </c>
      <c r="D67">
        <v>10870</v>
      </c>
    </row>
    <row r="68" spans="1:4" x14ac:dyDescent="0.2">
      <c r="A68" t="s">
        <v>175</v>
      </c>
      <c r="B68">
        <v>56984</v>
      </c>
      <c r="C68" s="6" t="s">
        <v>178</v>
      </c>
      <c r="D68">
        <v>6070</v>
      </c>
    </row>
    <row r="69" spans="1:4" x14ac:dyDescent="0.2">
      <c r="A69" t="s">
        <v>176</v>
      </c>
      <c r="B69">
        <v>56810</v>
      </c>
      <c r="C69" s="6" t="s">
        <v>179</v>
      </c>
      <c r="D69">
        <v>5930</v>
      </c>
    </row>
    <row r="70" spans="1:4" x14ac:dyDescent="0.2">
      <c r="A70" t="s">
        <v>181</v>
      </c>
      <c r="B70">
        <v>56587</v>
      </c>
      <c r="C70" s="6" t="s">
        <v>182</v>
      </c>
      <c r="D70">
        <v>5721</v>
      </c>
    </row>
    <row r="71" spans="1:4" x14ac:dyDescent="0.2">
      <c r="A71" t="s">
        <v>180</v>
      </c>
      <c r="B71">
        <v>56575</v>
      </c>
      <c r="C71" s="6" t="s">
        <v>186</v>
      </c>
      <c r="D71">
        <v>5687</v>
      </c>
    </row>
    <row r="72" spans="1:4" x14ac:dyDescent="0.2">
      <c r="A72" t="s">
        <v>173</v>
      </c>
      <c r="B72">
        <v>1703</v>
      </c>
      <c r="C72" s="6" t="s">
        <v>177</v>
      </c>
      <c r="D72">
        <v>300</v>
      </c>
    </row>
  </sheetData>
  <phoneticPr fontId="0" type="noConversion"/>
  <pageMargins left="0.75" right="0.75" top="0.94" bottom="1.28" header="0.32" footer="0.67"/>
  <pageSetup paperSize="9" orientation="portrait" horizontalDpi="204" verticalDpi="196" r:id="rId1"/>
  <headerFooter alignWithMargins="0">
    <oddHeader>&amp;A</oddHeader>
    <oddFooter>Page &amp;P</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O200"/>
  <sheetViews>
    <sheetView zoomScaleNormal="100" zoomScaleSheetLayoutView="100" workbookViewId="0">
      <pane ySplit="1" topLeftCell="A2" activePane="bottomLeft" state="frozen"/>
      <selection pane="bottomLeft"/>
    </sheetView>
  </sheetViews>
  <sheetFormatPr defaultRowHeight="12.75" x14ac:dyDescent="0.2"/>
  <cols>
    <col min="1" max="1" width="9.28515625" style="4" customWidth="1"/>
    <col min="2" max="2" width="11" style="67" customWidth="1"/>
    <col min="3" max="3" width="9.85546875" style="68" customWidth="1"/>
    <col min="4" max="4" width="10.42578125" style="59" customWidth="1"/>
    <col min="5" max="5" width="8.28515625" style="59" customWidth="1"/>
    <col min="6" max="7" width="10.42578125" style="59" customWidth="1"/>
    <col min="8" max="8" width="7.7109375" style="59" customWidth="1"/>
    <col min="9" max="9" width="6.5703125" style="59" customWidth="1"/>
    <col min="10" max="10" width="11.42578125" style="59" customWidth="1"/>
    <col min="11" max="11" width="10.140625" style="23" customWidth="1"/>
    <col min="12" max="12" width="11.28515625" style="23" customWidth="1"/>
    <col min="13" max="13" width="9.85546875" style="23" customWidth="1"/>
    <col min="14" max="41" width="9.140625" style="23" customWidth="1"/>
  </cols>
  <sheetData>
    <row r="1" spans="1:41" s="6" customFormat="1" ht="13.5" thickBot="1" x14ac:dyDescent="0.25">
      <c r="A1" s="60" t="s">
        <v>196</v>
      </c>
      <c r="B1" s="62" t="s">
        <v>197</v>
      </c>
      <c r="C1" s="63" t="s">
        <v>198</v>
      </c>
      <c r="D1" s="64" t="s">
        <v>199</v>
      </c>
      <c r="E1" s="60" t="s">
        <v>200</v>
      </c>
      <c r="F1" s="64" t="s">
        <v>201</v>
      </c>
      <c r="G1" s="65" t="s">
        <v>202</v>
      </c>
      <c r="H1" s="73" t="s">
        <v>203</v>
      </c>
      <c r="I1" s="60" t="s">
        <v>204</v>
      </c>
      <c r="J1" s="66" t="s">
        <v>205</v>
      </c>
      <c r="K1" s="54"/>
      <c r="L1" s="54"/>
      <c r="M1" s="54"/>
      <c r="N1" s="54"/>
      <c r="O1" s="54"/>
      <c r="P1" s="54"/>
      <c r="Q1" s="54"/>
      <c r="R1" s="54"/>
      <c r="S1" s="54"/>
      <c r="T1" s="54"/>
      <c r="U1" s="54"/>
      <c r="V1" s="54"/>
      <c r="W1" s="54"/>
      <c r="X1" s="54"/>
      <c r="Y1" s="54"/>
      <c r="Z1" s="54"/>
      <c r="AA1" s="54"/>
      <c r="AB1" s="54"/>
      <c r="AC1" s="54"/>
      <c r="AD1" s="54"/>
      <c r="AE1" s="54"/>
      <c r="AF1" s="54"/>
      <c r="AG1" s="54"/>
      <c r="AH1" s="54"/>
      <c r="AI1" s="54"/>
      <c r="AJ1" s="54"/>
      <c r="AK1" s="54"/>
      <c r="AL1" s="54"/>
      <c r="AM1" s="54"/>
      <c r="AN1" s="54"/>
      <c r="AO1" s="54"/>
    </row>
    <row r="2" spans="1:41" x14ac:dyDescent="0.2">
      <c r="A2" s="59" t="s">
        <v>110</v>
      </c>
      <c r="B2" s="67" t="s">
        <v>206</v>
      </c>
      <c r="C2" s="68" t="s">
        <v>207</v>
      </c>
      <c r="D2" s="59" t="s">
        <v>110</v>
      </c>
      <c r="E2" s="59" t="s">
        <v>208</v>
      </c>
      <c r="F2" s="59" t="s">
        <v>110</v>
      </c>
      <c r="G2" s="59" t="s">
        <v>110</v>
      </c>
      <c r="H2" s="59" t="s">
        <v>209</v>
      </c>
      <c r="I2" s="59" t="s">
        <v>209</v>
      </c>
      <c r="J2" s="59" t="s">
        <v>110</v>
      </c>
      <c r="K2" s="54"/>
      <c r="L2" s="54"/>
    </row>
    <row r="3" spans="1:41" s="23" customFormat="1" x14ac:dyDescent="0.2">
      <c r="A3" s="69" t="s">
        <v>14</v>
      </c>
      <c r="B3" s="70" t="s">
        <v>210</v>
      </c>
      <c r="C3" s="69">
        <v>13.302</v>
      </c>
      <c r="D3" s="61">
        <v>36643.067000000003</v>
      </c>
      <c r="E3" s="61">
        <v>15</v>
      </c>
      <c r="F3" s="61" t="s">
        <v>13</v>
      </c>
      <c r="G3" s="61">
        <v>36643.067000000003</v>
      </c>
      <c r="H3" s="61">
        <v>829.6</v>
      </c>
      <c r="I3" s="61" t="s">
        <v>256</v>
      </c>
      <c r="J3" s="61">
        <v>35.043999999999997</v>
      </c>
    </row>
    <row r="4" spans="1:41" s="23" customFormat="1" x14ac:dyDescent="0.2">
      <c r="A4" s="69" t="s">
        <v>15</v>
      </c>
      <c r="B4" s="70" t="s">
        <v>210</v>
      </c>
      <c r="C4" s="69">
        <v>10.372999999999999</v>
      </c>
      <c r="D4" s="61">
        <v>28662.13</v>
      </c>
      <c r="E4" s="61">
        <v>27</v>
      </c>
      <c r="F4" s="61">
        <v>7793.3490000000002</v>
      </c>
      <c r="G4" s="61">
        <v>28376.941999999999</v>
      </c>
      <c r="H4" s="61">
        <v>834.6</v>
      </c>
      <c r="I4" s="61" t="s">
        <v>13</v>
      </c>
      <c r="J4" s="61">
        <v>85.941000000000003</v>
      </c>
    </row>
    <row r="5" spans="1:41" s="23" customFormat="1" x14ac:dyDescent="0.2">
      <c r="A5" s="69" t="s">
        <v>16</v>
      </c>
      <c r="B5" s="70" t="s">
        <v>210</v>
      </c>
      <c r="C5" s="69">
        <v>5.859</v>
      </c>
      <c r="D5" s="61">
        <v>16399.052</v>
      </c>
      <c r="E5" s="61">
        <v>16.8</v>
      </c>
      <c r="F5" s="61">
        <v>20048.338</v>
      </c>
      <c r="G5" s="61">
        <v>16373.633</v>
      </c>
      <c r="H5" s="61">
        <v>845</v>
      </c>
      <c r="I5" s="61" t="s">
        <v>13</v>
      </c>
      <c r="J5" s="61">
        <v>-13030.284</v>
      </c>
    </row>
    <row r="6" spans="1:41" s="23" customFormat="1" x14ac:dyDescent="0.2">
      <c r="A6" s="69" t="s">
        <v>18</v>
      </c>
      <c r="B6" s="70" t="s">
        <v>210</v>
      </c>
      <c r="C6" s="69">
        <v>8.1549999999999994</v>
      </c>
      <c r="D6" s="61">
        <v>34912.686000000002</v>
      </c>
      <c r="E6" s="61">
        <v>21.6</v>
      </c>
      <c r="F6" s="61">
        <v>23221.891</v>
      </c>
      <c r="G6" s="61">
        <v>34623.26</v>
      </c>
      <c r="H6" s="61">
        <v>845.1</v>
      </c>
      <c r="I6" s="61" t="s">
        <v>13</v>
      </c>
      <c r="J6" s="61">
        <v>7344.5919999999996</v>
      </c>
    </row>
    <row r="7" spans="1:41" s="23" customFormat="1" x14ac:dyDescent="0.2">
      <c r="A7" s="69" t="s">
        <v>155</v>
      </c>
      <c r="B7" s="70" t="s">
        <v>210</v>
      </c>
      <c r="C7" s="69">
        <v>13.917</v>
      </c>
      <c r="D7" s="61">
        <v>66062.657999999996</v>
      </c>
      <c r="E7" s="61">
        <v>17.600000000000001</v>
      </c>
      <c r="F7" s="61">
        <v>10488.064</v>
      </c>
      <c r="G7" s="61">
        <v>65931.854000000007</v>
      </c>
      <c r="H7" s="61">
        <v>876</v>
      </c>
      <c r="I7" s="61" t="s">
        <v>13</v>
      </c>
      <c r="J7" s="61">
        <v>5.3609999999999998</v>
      </c>
    </row>
    <row r="8" spans="1:41" s="23" customFormat="1" x14ac:dyDescent="0.2">
      <c r="A8" s="69" t="s">
        <v>156</v>
      </c>
      <c r="B8" s="70" t="s">
        <v>210</v>
      </c>
      <c r="C8" s="69">
        <v>16.184999999999999</v>
      </c>
      <c r="D8" s="61">
        <v>76844.97</v>
      </c>
      <c r="E8" s="61">
        <v>16.8</v>
      </c>
      <c r="F8" s="61" t="s">
        <v>13</v>
      </c>
      <c r="G8" s="61">
        <v>76733.544999999998</v>
      </c>
      <c r="H8" s="61">
        <v>872</v>
      </c>
      <c r="I8" s="61" t="s">
        <v>13</v>
      </c>
      <c r="J8" s="61">
        <v>15.875</v>
      </c>
      <c r="K8" s="61"/>
    </row>
    <row r="9" spans="1:41" s="23" customFormat="1" x14ac:dyDescent="0.2">
      <c r="A9" s="69" t="s">
        <v>175</v>
      </c>
      <c r="B9" s="70" t="s">
        <v>210</v>
      </c>
      <c r="C9" s="69">
        <v>15.337999999999999</v>
      </c>
      <c r="D9" s="61">
        <v>56346.639000000003</v>
      </c>
      <c r="E9" s="61">
        <v>17.3</v>
      </c>
      <c r="F9" s="61">
        <v>88.064999999999998</v>
      </c>
      <c r="G9" s="61">
        <v>56222.675999999999</v>
      </c>
      <c r="H9" s="61">
        <v>802</v>
      </c>
      <c r="I9" s="61" t="s">
        <v>13</v>
      </c>
      <c r="J9" s="61">
        <v>39.820999999999998</v>
      </c>
    </row>
    <row r="10" spans="1:41" s="23" customFormat="1" x14ac:dyDescent="0.2">
      <c r="A10" s="69" t="s">
        <v>176</v>
      </c>
      <c r="B10" s="70" t="s">
        <v>210</v>
      </c>
      <c r="C10" s="69">
        <v>2.0539999999999998</v>
      </c>
      <c r="D10" s="61">
        <v>7958.5739999999996</v>
      </c>
      <c r="E10" s="61">
        <v>16.100000000000001</v>
      </c>
      <c r="F10" s="61">
        <v>48339.267</v>
      </c>
      <c r="G10" s="61">
        <v>7940.19</v>
      </c>
      <c r="H10" s="61">
        <v>863.4</v>
      </c>
      <c r="I10" s="61" t="s">
        <v>13</v>
      </c>
      <c r="J10" s="61">
        <v>25.396000000000001</v>
      </c>
    </row>
    <row r="11" spans="1:41" s="23" customFormat="1" x14ac:dyDescent="0.2">
      <c r="A11" s="69" t="s">
        <v>181</v>
      </c>
      <c r="B11" s="70" t="s">
        <v>210</v>
      </c>
      <c r="C11" s="69">
        <v>12.778</v>
      </c>
      <c r="D11" s="61">
        <v>46635.618999999999</v>
      </c>
      <c r="E11" s="61">
        <v>16.399999999999999</v>
      </c>
      <c r="F11" s="61">
        <v>9399.5769999999993</v>
      </c>
      <c r="G11" s="61">
        <v>46572.661</v>
      </c>
      <c r="H11" s="61">
        <v>799.6</v>
      </c>
      <c r="I11" s="61" t="s">
        <v>13</v>
      </c>
      <c r="J11" s="61">
        <v>4.266</v>
      </c>
    </row>
    <row r="12" spans="1:41" s="23" customFormat="1" x14ac:dyDescent="0.2">
      <c r="A12" s="69" t="s">
        <v>180</v>
      </c>
      <c r="B12" s="70" t="s">
        <v>210</v>
      </c>
      <c r="C12" s="69">
        <v>14.712999999999999</v>
      </c>
      <c r="D12" s="61">
        <v>53959.877</v>
      </c>
      <c r="E12" s="61">
        <v>16.5</v>
      </c>
      <c r="F12" s="61">
        <v>2095.038</v>
      </c>
      <c r="G12" s="61">
        <v>53894.586000000003</v>
      </c>
      <c r="H12" s="61">
        <v>847.8</v>
      </c>
      <c r="I12" s="61" t="s">
        <v>13</v>
      </c>
      <c r="J12" s="61">
        <v>8.01</v>
      </c>
    </row>
    <row r="13" spans="1:41" s="23" customFormat="1" x14ac:dyDescent="0.2">
      <c r="A13" s="69" t="s">
        <v>110</v>
      </c>
      <c r="B13" s="70" t="s">
        <v>206</v>
      </c>
      <c r="C13" s="69" t="s">
        <v>207</v>
      </c>
      <c r="D13" s="61" t="s">
        <v>110</v>
      </c>
      <c r="E13" s="61" t="s">
        <v>13</v>
      </c>
      <c r="F13" s="61" t="s">
        <v>110</v>
      </c>
      <c r="G13" s="61" t="s">
        <v>110</v>
      </c>
      <c r="H13" s="61" t="s">
        <v>13</v>
      </c>
      <c r="I13" s="61" t="s">
        <v>209</v>
      </c>
      <c r="J13" s="61" t="s">
        <v>110</v>
      </c>
    </row>
    <row r="14" spans="1:41" s="23" customFormat="1" x14ac:dyDescent="0.2">
      <c r="A14" s="69" t="s">
        <v>13</v>
      </c>
      <c r="B14" s="70" t="s">
        <v>13</v>
      </c>
      <c r="C14" s="69" t="s">
        <v>13</v>
      </c>
      <c r="D14" s="61" t="s">
        <v>13</v>
      </c>
      <c r="E14" s="61" t="s">
        <v>13</v>
      </c>
      <c r="F14" s="61" t="s">
        <v>13</v>
      </c>
      <c r="G14" s="61" t="s">
        <v>13</v>
      </c>
      <c r="H14" s="61" t="s">
        <v>13</v>
      </c>
      <c r="I14" s="61" t="s">
        <v>13</v>
      </c>
      <c r="J14" s="61" t="s">
        <v>13</v>
      </c>
    </row>
    <row r="15" spans="1:41" s="23" customFormat="1" x14ac:dyDescent="0.2">
      <c r="A15" s="69" t="s">
        <v>13</v>
      </c>
      <c r="B15" s="70" t="s">
        <v>13</v>
      </c>
      <c r="C15" s="69" t="s">
        <v>13</v>
      </c>
      <c r="D15" s="61" t="s">
        <v>13</v>
      </c>
      <c r="E15" s="61" t="s">
        <v>13</v>
      </c>
      <c r="F15" s="61" t="s">
        <v>13</v>
      </c>
      <c r="G15" s="61" t="s">
        <v>13</v>
      </c>
      <c r="H15" s="61" t="s">
        <v>13</v>
      </c>
      <c r="I15" s="61" t="s">
        <v>13</v>
      </c>
      <c r="J15" s="61" t="s">
        <v>13</v>
      </c>
    </row>
    <row r="16" spans="1:41" s="23" customFormat="1" x14ac:dyDescent="0.2">
      <c r="A16" s="69" t="s">
        <v>21</v>
      </c>
      <c r="B16" s="70" t="s">
        <v>213</v>
      </c>
      <c r="C16" s="69">
        <v>3.1110000000000002</v>
      </c>
      <c r="D16" s="61">
        <v>122.218</v>
      </c>
      <c r="E16" s="61">
        <v>17.8</v>
      </c>
      <c r="F16" s="61">
        <v>287.78699999999998</v>
      </c>
      <c r="G16" s="61">
        <v>129.727</v>
      </c>
      <c r="H16" s="61">
        <v>503</v>
      </c>
      <c r="I16" s="61" t="s">
        <v>13</v>
      </c>
      <c r="J16" s="61">
        <v>-4.2329999999999997</v>
      </c>
    </row>
    <row r="17" spans="1:10" x14ac:dyDescent="0.2">
      <c r="A17" s="69" t="s">
        <v>110</v>
      </c>
      <c r="B17" s="70" t="s">
        <v>206</v>
      </c>
      <c r="C17" s="69" t="s">
        <v>207</v>
      </c>
      <c r="D17" s="61" t="s">
        <v>110</v>
      </c>
      <c r="E17" s="61" t="s">
        <v>13</v>
      </c>
      <c r="F17" s="61" t="s">
        <v>110</v>
      </c>
      <c r="G17" s="61" t="s">
        <v>110</v>
      </c>
      <c r="H17" s="61" t="s">
        <v>13</v>
      </c>
      <c r="I17" s="61" t="s">
        <v>209</v>
      </c>
      <c r="J17" s="61" t="s">
        <v>110</v>
      </c>
    </row>
    <row r="18" spans="1:10" x14ac:dyDescent="0.2">
      <c r="A18" s="69" t="s">
        <v>13</v>
      </c>
      <c r="B18" s="70" t="s">
        <v>13</v>
      </c>
      <c r="C18" s="69" t="s">
        <v>13</v>
      </c>
      <c r="D18" s="61" t="s">
        <v>13</v>
      </c>
      <c r="E18" s="61" t="s">
        <v>13</v>
      </c>
      <c r="F18" s="61" t="s">
        <v>13</v>
      </c>
      <c r="G18" s="61" t="s">
        <v>13</v>
      </c>
      <c r="H18" s="61" t="s">
        <v>13</v>
      </c>
      <c r="I18" s="61" t="s">
        <v>13</v>
      </c>
      <c r="J18" s="61" t="s">
        <v>13</v>
      </c>
    </row>
    <row r="19" spans="1:10" x14ac:dyDescent="0.2">
      <c r="A19" s="69" t="s">
        <v>13</v>
      </c>
      <c r="B19" s="70" t="s">
        <v>13</v>
      </c>
      <c r="C19" s="69" t="s">
        <v>13</v>
      </c>
      <c r="D19" s="61" t="s">
        <v>13</v>
      </c>
      <c r="E19" s="61" t="s">
        <v>13</v>
      </c>
      <c r="F19" s="61" t="s">
        <v>13</v>
      </c>
      <c r="G19" s="61" t="s">
        <v>13</v>
      </c>
      <c r="H19" s="61" t="s">
        <v>13</v>
      </c>
      <c r="I19" s="61" t="s">
        <v>13</v>
      </c>
      <c r="J19" s="61" t="s">
        <v>13</v>
      </c>
    </row>
    <row r="20" spans="1:10" x14ac:dyDescent="0.2">
      <c r="A20" s="69" t="s">
        <v>22</v>
      </c>
      <c r="B20" s="70" t="s">
        <v>215</v>
      </c>
      <c r="C20" s="69">
        <v>1.0740000000000001</v>
      </c>
      <c r="D20" s="61">
        <v>29.350999999999999</v>
      </c>
      <c r="E20" s="61">
        <v>11.4</v>
      </c>
      <c r="F20" s="61">
        <v>410.64699999999999</v>
      </c>
      <c r="G20" s="61">
        <v>33.024000000000001</v>
      </c>
      <c r="H20" s="61">
        <v>572.1</v>
      </c>
      <c r="I20" s="61" t="s">
        <v>13</v>
      </c>
      <c r="J20" s="61">
        <v>-8.7999999999999995E-2</v>
      </c>
    </row>
    <row r="21" spans="1:10" x14ac:dyDescent="0.2">
      <c r="A21" s="69" t="s">
        <v>110</v>
      </c>
      <c r="B21" s="70" t="s">
        <v>206</v>
      </c>
      <c r="C21" s="69" t="s">
        <v>207</v>
      </c>
      <c r="D21" s="61" t="s">
        <v>110</v>
      </c>
      <c r="E21" s="61" t="s">
        <v>13</v>
      </c>
      <c r="F21" s="61" t="s">
        <v>110</v>
      </c>
      <c r="G21" s="61" t="s">
        <v>110</v>
      </c>
      <c r="H21" s="61" t="s">
        <v>13</v>
      </c>
      <c r="I21" s="61" t="s">
        <v>209</v>
      </c>
      <c r="J21" s="61" t="s">
        <v>110</v>
      </c>
    </row>
    <row r="22" spans="1:10" x14ac:dyDescent="0.2">
      <c r="A22" s="69" t="s">
        <v>13</v>
      </c>
      <c r="B22" s="70" t="s">
        <v>13</v>
      </c>
      <c r="C22" s="69" t="s">
        <v>13</v>
      </c>
      <c r="D22" s="61" t="s">
        <v>13</v>
      </c>
      <c r="E22" s="61" t="s">
        <v>13</v>
      </c>
      <c r="F22" s="61" t="s">
        <v>13</v>
      </c>
      <c r="G22" s="61" t="s">
        <v>13</v>
      </c>
      <c r="H22" s="61" t="s">
        <v>13</v>
      </c>
      <c r="I22" s="61" t="s">
        <v>13</v>
      </c>
      <c r="J22" s="61" t="s">
        <v>13</v>
      </c>
    </row>
    <row r="23" spans="1:10" x14ac:dyDescent="0.2">
      <c r="A23" s="69" t="s">
        <v>13</v>
      </c>
      <c r="B23" s="70" t="s">
        <v>13</v>
      </c>
      <c r="C23" s="69" t="s">
        <v>13</v>
      </c>
      <c r="D23" s="61" t="s">
        <v>13</v>
      </c>
      <c r="E23" s="61" t="s">
        <v>13</v>
      </c>
      <c r="F23" s="61" t="s">
        <v>13</v>
      </c>
      <c r="G23" s="61" t="s">
        <v>13</v>
      </c>
      <c r="H23" s="61" t="s">
        <v>13</v>
      </c>
      <c r="I23" s="61" t="s">
        <v>13</v>
      </c>
      <c r="J23" s="61" t="s">
        <v>13</v>
      </c>
    </row>
    <row r="24" spans="1:10" x14ac:dyDescent="0.2">
      <c r="A24" s="69" t="s">
        <v>23</v>
      </c>
      <c r="B24" s="70" t="s">
        <v>216</v>
      </c>
      <c r="C24" s="69">
        <v>2.34</v>
      </c>
      <c r="D24" s="61">
        <v>151.07599999999999</v>
      </c>
      <c r="E24" s="61">
        <v>18.100000000000001</v>
      </c>
      <c r="F24" s="61">
        <v>2548.9349999999999</v>
      </c>
      <c r="G24" s="61">
        <v>194.99700000000001</v>
      </c>
      <c r="H24" s="61">
        <v>560</v>
      </c>
      <c r="I24" s="61" t="s">
        <v>13</v>
      </c>
      <c r="J24" s="61">
        <v>119.205</v>
      </c>
    </row>
    <row r="25" spans="1:10" x14ac:dyDescent="0.2">
      <c r="A25" s="69" t="s">
        <v>187</v>
      </c>
      <c r="B25" s="70" t="s">
        <v>216</v>
      </c>
      <c r="C25" s="69">
        <v>7.3120000000000003</v>
      </c>
      <c r="D25" s="61">
        <v>1454.424</v>
      </c>
      <c r="E25" s="61">
        <v>14.3</v>
      </c>
      <c r="F25" s="61">
        <v>1885.547</v>
      </c>
      <c r="G25" s="61">
        <v>1471.001</v>
      </c>
      <c r="H25" s="61">
        <v>559.20000000000005</v>
      </c>
      <c r="I25" s="61" t="s">
        <v>13</v>
      </c>
      <c r="J25" s="61">
        <v>-1043.184</v>
      </c>
    </row>
    <row r="26" spans="1:10" x14ac:dyDescent="0.2">
      <c r="A26" s="69" t="s">
        <v>110</v>
      </c>
      <c r="B26" s="70" t="s">
        <v>206</v>
      </c>
      <c r="C26" s="69" t="s">
        <v>207</v>
      </c>
      <c r="D26" s="61" t="s">
        <v>110</v>
      </c>
      <c r="E26" s="61" t="s">
        <v>13</v>
      </c>
      <c r="F26" s="61" t="s">
        <v>110</v>
      </c>
      <c r="G26" s="61" t="s">
        <v>110</v>
      </c>
      <c r="H26" s="61" t="s">
        <v>13</v>
      </c>
      <c r="I26" s="61" t="s">
        <v>209</v>
      </c>
      <c r="J26" s="61" t="s">
        <v>110</v>
      </c>
    </row>
    <row r="27" spans="1:10" x14ac:dyDescent="0.2">
      <c r="A27" s="69" t="s">
        <v>13</v>
      </c>
      <c r="B27" s="70" t="s">
        <v>13</v>
      </c>
      <c r="C27" s="69" t="s">
        <v>13</v>
      </c>
      <c r="D27" s="61" t="s">
        <v>13</v>
      </c>
      <c r="E27" s="61" t="s">
        <v>13</v>
      </c>
      <c r="F27" s="61" t="s">
        <v>13</v>
      </c>
      <c r="G27" s="61" t="s">
        <v>13</v>
      </c>
      <c r="H27" s="61" t="s">
        <v>13</v>
      </c>
      <c r="I27" s="61" t="s">
        <v>13</v>
      </c>
      <c r="J27" s="61" t="s">
        <v>13</v>
      </c>
    </row>
    <row r="28" spans="1:10" x14ac:dyDescent="0.2">
      <c r="A28" s="69" t="s">
        <v>13</v>
      </c>
      <c r="B28" s="70" t="s">
        <v>13</v>
      </c>
      <c r="C28" s="69" t="s">
        <v>13</v>
      </c>
      <c r="D28" s="61" t="s">
        <v>13</v>
      </c>
      <c r="E28" s="61" t="s">
        <v>13</v>
      </c>
      <c r="F28" s="61" t="s">
        <v>13</v>
      </c>
      <c r="G28" s="61" t="s">
        <v>13</v>
      </c>
      <c r="H28" s="61" t="s">
        <v>13</v>
      </c>
      <c r="I28" s="61" t="s">
        <v>13</v>
      </c>
      <c r="J28" s="61" t="s">
        <v>13</v>
      </c>
    </row>
    <row r="29" spans="1:10" x14ac:dyDescent="0.2">
      <c r="A29" s="69" t="s">
        <v>27</v>
      </c>
      <c r="B29" s="70" t="s">
        <v>217</v>
      </c>
      <c r="C29" s="69">
        <v>10.321</v>
      </c>
      <c r="D29" s="61">
        <v>3687.9920000000002</v>
      </c>
      <c r="E29" s="61">
        <v>12</v>
      </c>
      <c r="F29" s="61">
        <v>731.48400000000004</v>
      </c>
      <c r="G29" s="61">
        <v>3701.6379999999999</v>
      </c>
      <c r="H29" s="61">
        <v>705.7</v>
      </c>
      <c r="I29" s="61" t="s">
        <v>246</v>
      </c>
      <c r="J29" s="61">
        <v>-184.96199999999999</v>
      </c>
    </row>
    <row r="30" spans="1:10" x14ac:dyDescent="0.2">
      <c r="A30" s="69" t="s">
        <v>83</v>
      </c>
      <c r="B30" s="70" t="s">
        <v>217</v>
      </c>
      <c r="C30" s="69">
        <v>4.8949999999999996</v>
      </c>
      <c r="D30" s="61">
        <v>2716.576</v>
      </c>
      <c r="E30" s="61">
        <v>1.7</v>
      </c>
      <c r="F30" s="61">
        <v>4133.3900000000003</v>
      </c>
      <c r="G30" s="61">
        <v>2763.8440000000001</v>
      </c>
      <c r="H30" s="61">
        <v>707</v>
      </c>
      <c r="I30" s="61" t="s">
        <v>13</v>
      </c>
      <c r="J30" s="61">
        <v>16.454999999999998</v>
      </c>
    </row>
    <row r="31" spans="1:10" x14ac:dyDescent="0.2">
      <c r="A31" s="69" t="s">
        <v>110</v>
      </c>
      <c r="B31" s="70" t="s">
        <v>206</v>
      </c>
      <c r="C31" s="69" t="s">
        <v>207</v>
      </c>
      <c r="D31" s="61" t="s">
        <v>110</v>
      </c>
      <c r="E31" s="61" t="s">
        <v>13</v>
      </c>
      <c r="F31" s="61" t="s">
        <v>110</v>
      </c>
      <c r="G31" s="61" t="s">
        <v>110</v>
      </c>
      <c r="H31" s="61" t="s">
        <v>13</v>
      </c>
      <c r="I31" s="61" t="s">
        <v>209</v>
      </c>
      <c r="J31" s="61" t="s">
        <v>110</v>
      </c>
    </row>
    <row r="32" spans="1:10" x14ac:dyDescent="0.2">
      <c r="A32" s="69" t="s">
        <v>13</v>
      </c>
      <c r="B32" s="70" t="s">
        <v>13</v>
      </c>
      <c r="C32" s="69" t="s">
        <v>13</v>
      </c>
      <c r="D32" s="61" t="s">
        <v>13</v>
      </c>
      <c r="E32" s="61" t="s">
        <v>13</v>
      </c>
      <c r="F32" s="61" t="s">
        <v>13</v>
      </c>
      <c r="G32" s="61" t="s">
        <v>13</v>
      </c>
      <c r="H32" s="61" t="s">
        <v>13</v>
      </c>
      <c r="I32" s="61" t="s">
        <v>13</v>
      </c>
      <c r="J32" s="61" t="s">
        <v>13</v>
      </c>
    </row>
    <row r="33" spans="1:10" x14ac:dyDescent="0.2">
      <c r="A33" s="69" t="s">
        <v>13</v>
      </c>
      <c r="B33" s="70" t="s">
        <v>13</v>
      </c>
      <c r="C33" s="69" t="s">
        <v>13</v>
      </c>
      <c r="D33" s="61" t="s">
        <v>13</v>
      </c>
      <c r="E33" s="61" t="s">
        <v>13</v>
      </c>
      <c r="F33" s="61" t="s">
        <v>13</v>
      </c>
      <c r="G33" s="61" t="s">
        <v>13</v>
      </c>
      <c r="H33" s="61" t="s">
        <v>13</v>
      </c>
      <c r="I33" s="61" t="s">
        <v>13</v>
      </c>
      <c r="J33" s="61" t="s">
        <v>13</v>
      </c>
    </row>
    <row r="34" spans="1:10" x14ac:dyDescent="0.2">
      <c r="A34" s="69" t="s">
        <v>28</v>
      </c>
      <c r="B34" s="70" t="s">
        <v>218</v>
      </c>
      <c r="C34" s="69">
        <v>6.1609999999999996</v>
      </c>
      <c r="D34" s="61">
        <v>848.13599999999997</v>
      </c>
      <c r="E34" s="61">
        <v>11.8</v>
      </c>
      <c r="F34" s="61">
        <v>824.44200000000001</v>
      </c>
      <c r="G34" s="61">
        <v>841.30899999999997</v>
      </c>
      <c r="H34" s="61">
        <v>673.3</v>
      </c>
      <c r="I34" s="61" t="s">
        <v>246</v>
      </c>
      <c r="J34" s="61">
        <v>-4.6100000000000003</v>
      </c>
    </row>
    <row r="35" spans="1:10" x14ac:dyDescent="0.2">
      <c r="A35" s="69" t="s">
        <v>110</v>
      </c>
      <c r="B35" s="70" t="s">
        <v>206</v>
      </c>
      <c r="C35" s="69" t="s">
        <v>207</v>
      </c>
      <c r="D35" s="61" t="s">
        <v>110</v>
      </c>
      <c r="E35" s="61" t="s">
        <v>13</v>
      </c>
      <c r="F35" s="61" t="s">
        <v>110</v>
      </c>
      <c r="G35" s="61" t="s">
        <v>110</v>
      </c>
      <c r="H35" s="61" t="s">
        <v>13</v>
      </c>
      <c r="I35" s="61" t="s">
        <v>209</v>
      </c>
      <c r="J35" s="61" t="s">
        <v>110</v>
      </c>
    </row>
    <row r="36" spans="1:10" x14ac:dyDescent="0.2">
      <c r="A36" s="69" t="s">
        <v>13</v>
      </c>
      <c r="B36" s="70" t="s">
        <v>13</v>
      </c>
      <c r="C36" s="69" t="s">
        <v>13</v>
      </c>
      <c r="D36" s="61" t="s">
        <v>13</v>
      </c>
      <c r="E36" s="61" t="s">
        <v>13</v>
      </c>
      <c r="F36" s="61" t="s">
        <v>13</v>
      </c>
      <c r="G36" s="61" t="s">
        <v>13</v>
      </c>
      <c r="H36" s="61" t="s">
        <v>13</v>
      </c>
      <c r="I36" s="61" t="s">
        <v>13</v>
      </c>
      <c r="J36" s="61" t="s">
        <v>13</v>
      </c>
    </row>
    <row r="37" spans="1:10" x14ac:dyDescent="0.2">
      <c r="A37" s="69" t="s">
        <v>13</v>
      </c>
      <c r="B37" s="70" t="s">
        <v>13</v>
      </c>
      <c r="C37" s="69" t="s">
        <v>13</v>
      </c>
      <c r="D37" s="61" t="s">
        <v>13</v>
      </c>
      <c r="E37" s="61" t="s">
        <v>13</v>
      </c>
      <c r="F37" s="61" t="s">
        <v>13</v>
      </c>
      <c r="G37" s="61" t="s">
        <v>13</v>
      </c>
      <c r="H37" s="61" t="s">
        <v>13</v>
      </c>
      <c r="I37" s="61" t="s">
        <v>13</v>
      </c>
      <c r="J37" s="61" t="s">
        <v>13</v>
      </c>
    </row>
    <row r="38" spans="1:10" x14ac:dyDescent="0.2">
      <c r="A38" s="69" t="s">
        <v>38</v>
      </c>
      <c r="B38" s="70" t="s">
        <v>219</v>
      </c>
      <c r="C38" s="69">
        <v>11.44</v>
      </c>
      <c r="D38" s="61">
        <v>8959.7839999999997</v>
      </c>
      <c r="E38" s="61">
        <v>14.5</v>
      </c>
      <c r="F38" s="61">
        <v>1756.829</v>
      </c>
      <c r="G38" s="61">
        <v>8965.16</v>
      </c>
      <c r="H38" s="61">
        <v>746.1</v>
      </c>
      <c r="I38" s="61" t="s">
        <v>13</v>
      </c>
      <c r="J38" s="61">
        <v>4</v>
      </c>
    </row>
    <row r="39" spans="1:10" x14ac:dyDescent="0.2">
      <c r="A39" s="69" t="s">
        <v>110</v>
      </c>
      <c r="B39" s="70" t="s">
        <v>206</v>
      </c>
      <c r="C39" s="69" t="s">
        <v>207</v>
      </c>
      <c r="D39" s="61" t="s">
        <v>110</v>
      </c>
      <c r="E39" s="61" t="s">
        <v>13</v>
      </c>
      <c r="F39" s="61" t="s">
        <v>110</v>
      </c>
      <c r="G39" s="61" t="s">
        <v>110</v>
      </c>
      <c r="H39" s="61" t="s">
        <v>13</v>
      </c>
      <c r="I39" s="61" t="s">
        <v>209</v>
      </c>
      <c r="J39" s="61" t="s">
        <v>110</v>
      </c>
    </row>
    <row r="40" spans="1:10" x14ac:dyDescent="0.2">
      <c r="A40" s="69" t="s">
        <v>13</v>
      </c>
      <c r="B40" s="70" t="s">
        <v>13</v>
      </c>
      <c r="C40" s="69" t="s">
        <v>13</v>
      </c>
      <c r="D40" s="61" t="s">
        <v>13</v>
      </c>
      <c r="E40" s="61" t="s">
        <v>13</v>
      </c>
      <c r="F40" s="61" t="s">
        <v>13</v>
      </c>
      <c r="G40" s="61" t="s">
        <v>13</v>
      </c>
      <c r="H40" s="61" t="s">
        <v>13</v>
      </c>
      <c r="I40" s="61" t="s">
        <v>13</v>
      </c>
      <c r="J40" s="61" t="s">
        <v>13</v>
      </c>
    </row>
    <row r="41" spans="1:10" x14ac:dyDescent="0.2">
      <c r="A41" s="69" t="s">
        <v>13</v>
      </c>
      <c r="B41" s="70" t="s">
        <v>13</v>
      </c>
      <c r="C41" s="69" t="s">
        <v>13</v>
      </c>
      <c r="D41" s="61" t="s">
        <v>13</v>
      </c>
      <c r="E41" s="61" t="s">
        <v>13</v>
      </c>
      <c r="F41" s="61" t="s">
        <v>13</v>
      </c>
      <c r="G41" s="61" t="s">
        <v>13</v>
      </c>
      <c r="H41" s="61" t="s">
        <v>13</v>
      </c>
      <c r="I41" s="61" t="s">
        <v>13</v>
      </c>
      <c r="J41" s="61" t="s">
        <v>13</v>
      </c>
    </row>
    <row r="42" spans="1:10" x14ac:dyDescent="0.2">
      <c r="A42" s="69" t="s">
        <v>42</v>
      </c>
      <c r="B42" s="70" t="s">
        <v>220</v>
      </c>
      <c r="C42" s="69">
        <v>1.466</v>
      </c>
      <c r="D42" s="61">
        <v>691.70399999999995</v>
      </c>
      <c r="E42" s="61">
        <v>20.100000000000001</v>
      </c>
      <c r="F42" s="61">
        <v>5435.2960000000003</v>
      </c>
      <c r="G42" s="61">
        <v>687.36699999999996</v>
      </c>
      <c r="H42" s="61">
        <v>739.1</v>
      </c>
      <c r="I42" s="61" t="s">
        <v>13</v>
      </c>
      <c r="J42" s="61">
        <v>268.82499999999999</v>
      </c>
    </row>
    <row r="43" spans="1:10" x14ac:dyDescent="0.2">
      <c r="A43" s="69" t="s">
        <v>44</v>
      </c>
      <c r="B43" s="70" t="s">
        <v>220</v>
      </c>
      <c r="C43" s="69">
        <v>6.3310000000000004</v>
      </c>
      <c r="D43" s="61">
        <v>2918.15</v>
      </c>
      <c r="E43" s="61">
        <v>11.7</v>
      </c>
      <c r="F43" s="61">
        <v>3220.26</v>
      </c>
      <c r="G43" s="61">
        <v>2879.3389999999999</v>
      </c>
      <c r="H43" s="61">
        <v>739.8</v>
      </c>
      <c r="I43" s="61" t="s">
        <v>13</v>
      </c>
      <c r="J43" s="61">
        <v>-364.33199999999999</v>
      </c>
    </row>
    <row r="44" spans="1:10" x14ac:dyDescent="0.2">
      <c r="A44" s="69" t="s">
        <v>32</v>
      </c>
      <c r="B44" s="70" t="s">
        <v>220</v>
      </c>
      <c r="C44" s="69">
        <v>2.5459999999999998</v>
      </c>
      <c r="D44" s="61">
        <v>3618.9740000000002</v>
      </c>
      <c r="E44" s="61">
        <v>14.7</v>
      </c>
      <c r="F44" s="61">
        <v>14620.437</v>
      </c>
      <c r="G44" s="61">
        <v>3620.06</v>
      </c>
      <c r="H44" s="61">
        <v>747</v>
      </c>
      <c r="I44" s="61" t="s">
        <v>13</v>
      </c>
      <c r="J44" s="61">
        <v>1220.759</v>
      </c>
    </row>
    <row r="45" spans="1:10" x14ac:dyDescent="0.2">
      <c r="A45" s="69" t="s">
        <v>35</v>
      </c>
      <c r="B45" s="70" t="s">
        <v>220</v>
      </c>
      <c r="C45" s="69">
        <v>3.278</v>
      </c>
      <c r="D45" s="61">
        <v>5516.6180000000004</v>
      </c>
      <c r="E45" s="61">
        <v>17.399999999999999</v>
      </c>
      <c r="F45" s="61">
        <v>17887.305</v>
      </c>
      <c r="G45" s="61">
        <v>5542.5460000000003</v>
      </c>
      <c r="H45" s="61">
        <v>734.5</v>
      </c>
      <c r="I45" s="61" t="s">
        <v>13</v>
      </c>
      <c r="J45" s="61">
        <v>-263.56</v>
      </c>
    </row>
    <row r="46" spans="1:10" x14ac:dyDescent="0.2">
      <c r="A46" s="69" t="s">
        <v>37</v>
      </c>
      <c r="B46" s="70" t="s">
        <v>220</v>
      </c>
      <c r="C46" s="69">
        <v>4.3419999999999996</v>
      </c>
      <c r="D46" s="61">
        <v>606.01700000000005</v>
      </c>
      <c r="E46" s="61">
        <v>12.3</v>
      </c>
      <c r="F46" s="61">
        <v>913.54600000000005</v>
      </c>
      <c r="G46" s="61">
        <v>603.16899999999998</v>
      </c>
      <c r="H46" s="61">
        <v>742.9</v>
      </c>
      <c r="I46" s="61" t="s">
        <v>13</v>
      </c>
      <c r="J46" s="61">
        <v>1.004</v>
      </c>
    </row>
    <row r="47" spans="1:10" x14ac:dyDescent="0.2">
      <c r="A47" s="69" t="s">
        <v>40</v>
      </c>
      <c r="B47" s="70" t="s">
        <v>220</v>
      </c>
      <c r="C47" s="69">
        <v>2.056</v>
      </c>
      <c r="D47" s="61">
        <v>336.24400000000003</v>
      </c>
      <c r="E47" s="61">
        <v>15.6</v>
      </c>
      <c r="F47" s="61">
        <v>1473.425</v>
      </c>
      <c r="G47" s="61">
        <v>334.28399999999999</v>
      </c>
      <c r="H47" s="61">
        <v>741.6</v>
      </c>
      <c r="I47" s="61" t="s">
        <v>13</v>
      </c>
      <c r="J47" s="61">
        <v>190.18</v>
      </c>
    </row>
    <row r="48" spans="1:10" x14ac:dyDescent="0.2">
      <c r="A48" s="69" t="s">
        <v>110</v>
      </c>
      <c r="B48" s="70" t="s">
        <v>206</v>
      </c>
      <c r="C48" s="69" t="s">
        <v>207</v>
      </c>
      <c r="D48" s="61" t="s">
        <v>110</v>
      </c>
      <c r="E48" s="61" t="s">
        <v>13</v>
      </c>
      <c r="F48" s="61" t="s">
        <v>110</v>
      </c>
      <c r="G48" s="61" t="s">
        <v>110</v>
      </c>
      <c r="H48" s="61" t="s">
        <v>13</v>
      </c>
      <c r="I48" s="61" t="s">
        <v>209</v>
      </c>
      <c r="J48" s="61" t="s">
        <v>110</v>
      </c>
    </row>
    <row r="49" spans="1:10" x14ac:dyDescent="0.2">
      <c r="A49" s="69" t="s">
        <v>13</v>
      </c>
      <c r="B49" s="70" t="s">
        <v>13</v>
      </c>
      <c r="C49" s="69" t="s">
        <v>13</v>
      </c>
      <c r="D49" s="61" t="s">
        <v>13</v>
      </c>
      <c r="E49" s="61" t="s">
        <v>13</v>
      </c>
      <c r="F49" s="61" t="s">
        <v>13</v>
      </c>
      <c r="G49" s="61" t="s">
        <v>13</v>
      </c>
      <c r="H49" s="61" t="s">
        <v>13</v>
      </c>
      <c r="I49" s="61" t="s">
        <v>13</v>
      </c>
      <c r="J49" s="61" t="s">
        <v>13</v>
      </c>
    </row>
    <row r="50" spans="1:10" x14ac:dyDescent="0.2">
      <c r="A50" s="69" t="s">
        <v>13</v>
      </c>
      <c r="B50" s="70" t="s">
        <v>13</v>
      </c>
      <c r="C50" s="69" t="s">
        <v>13</v>
      </c>
      <c r="D50" s="61" t="s">
        <v>13</v>
      </c>
      <c r="E50" s="61" t="s">
        <v>13</v>
      </c>
      <c r="F50" s="61" t="s">
        <v>13</v>
      </c>
      <c r="G50" s="61" t="s">
        <v>13</v>
      </c>
      <c r="H50" s="61" t="s">
        <v>13</v>
      </c>
      <c r="I50" s="61" t="s">
        <v>13</v>
      </c>
      <c r="J50" s="61" t="s">
        <v>13</v>
      </c>
    </row>
    <row r="51" spans="1:10" x14ac:dyDescent="0.2">
      <c r="A51" s="69" t="s">
        <v>24</v>
      </c>
      <c r="B51" s="70" t="s">
        <v>221</v>
      </c>
      <c r="C51" s="69">
        <v>5.6289999999999996</v>
      </c>
      <c r="D51" s="61">
        <v>4046.817</v>
      </c>
      <c r="E51" s="61">
        <v>18</v>
      </c>
      <c r="F51" s="61">
        <v>5668.8370000000004</v>
      </c>
      <c r="G51" s="61">
        <v>4034.11</v>
      </c>
      <c r="H51" s="61">
        <v>758.7</v>
      </c>
      <c r="I51" s="61" t="s">
        <v>13</v>
      </c>
      <c r="J51" s="61">
        <v>8.3949999999999996</v>
      </c>
    </row>
    <row r="52" spans="1:10" x14ac:dyDescent="0.2">
      <c r="A52" s="69" t="s">
        <v>110</v>
      </c>
      <c r="B52" s="70" t="s">
        <v>206</v>
      </c>
      <c r="C52" s="69" t="s">
        <v>207</v>
      </c>
      <c r="D52" s="61" t="s">
        <v>110</v>
      </c>
      <c r="E52" s="61" t="s">
        <v>13</v>
      </c>
      <c r="F52" s="61" t="s">
        <v>110</v>
      </c>
      <c r="G52" s="61" t="s">
        <v>110</v>
      </c>
      <c r="H52" s="61" t="s">
        <v>13</v>
      </c>
      <c r="I52" s="61" t="s">
        <v>209</v>
      </c>
      <c r="J52" s="61" t="s">
        <v>110</v>
      </c>
    </row>
    <row r="53" spans="1:10" x14ac:dyDescent="0.2">
      <c r="A53" s="69" t="s">
        <v>13</v>
      </c>
      <c r="B53" s="70" t="s">
        <v>13</v>
      </c>
      <c r="C53" s="69" t="s">
        <v>13</v>
      </c>
      <c r="D53" s="61" t="s">
        <v>13</v>
      </c>
      <c r="E53" s="61" t="s">
        <v>13</v>
      </c>
      <c r="F53" s="61" t="s">
        <v>13</v>
      </c>
      <c r="G53" s="61" t="s">
        <v>13</v>
      </c>
      <c r="H53" s="61" t="s">
        <v>13</v>
      </c>
      <c r="I53" s="61" t="s">
        <v>13</v>
      </c>
      <c r="J53" s="61" t="s">
        <v>13</v>
      </c>
    </row>
    <row r="54" spans="1:10" x14ac:dyDescent="0.2">
      <c r="A54" s="69" t="s">
        <v>13</v>
      </c>
      <c r="B54" s="70" t="s">
        <v>13</v>
      </c>
      <c r="C54" s="69" t="s">
        <v>13</v>
      </c>
      <c r="D54" s="61" t="s">
        <v>13</v>
      </c>
      <c r="E54" s="61" t="s">
        <v>13</v>
      </c>
      <c r="F54" s="61" t="s">
        <v>13</v>
      </c>
      <c r="G54" s="61" t="s">
        <v>13</v>
      </c>
      <c r="H54" s="61" t="s">
        <v>13</v>
      </c>
      <c r="I54" s="61" t="s">
        <v>13</v>
      </c>
      <c r="J54" s="61" t="s">
        <v>13</v>
      </c>
    </row>
    <row r="55" spans="1:10" x14ac:dyDescent="0.2">
      <c r="A55" s="69" t="s">
        <v>25</v>
      </c>
      <c r="B55" s="70" t="s">
        <v>222</v>
      </c>
      <c r="C55" s="69">
        <v>3.33</v>
      </c>
      <c r="D55" s="61">
        <v>595.93600000000004</v>
      </c>
      <c r="E55" s="61">
        <v>12.7</v>
      </c>
      <c r="F55" s="61">
        <v>1915.39</v>
      </c>
      <c r="G55" s="61">
        <v>597.60500000000002</v>
      </c>
      <c r="H55" s="61">
        <v>738.7</v>
      </c>
      <c r="I55" s="61" t="s">
        <v>13</v>
      </c>
      <c r="J55" s="61">
        <v>-619.56600000000003</v>
      </c>
    </row>
    <row r="56" spans="1:10" x14ac:dyDescent="0.2">
      <c r="A56" s="69" t="s">
        <v>47</v>
      </c>
      <c r="B56" s="70" t="s">
        <v>222</v>
      </c>
      <c r="C56" s="69">
        <v>6.32</v>
      </c>
      <c r="D56" s="61">
        <v>723.98500000000001</v>
      </c>
      <c r="E56" s="61">
        <v>13.1</v>
      </c>
      <c r="F56" s="61">
        <v>443.70499999999998</v>
      </c>
      <c r="G56" s="61">
        <v>725.65</v>
      </c>
      <c r="H56" s="61">
        <v>740</v>
      </c>
      <c r="I56" s="61" t="s">
        <v>13</v>
      </c>
      <c r="J56" s="61">
        <v>64.356999999999999</v>
      </c>
    </row>
    <row r="57" spans="1:10" x14ac:dyDescent="0.2">
      <c r="A57" s="69" t="s">
        <v>63</v>
      </c>
      <c r="B57" s="70" t="s">
        <v>222</v>
      </c>
      <c r="C57" s="69">
        <v>6.9249999999999998</v>
      </c>
      <c r="D57" s="61">
        <v>966.68200000000002</v>
      </c>
      <c r="E57" s="61">
        <v>7.3</v>
      </c>
      <c r="F57" s="61">
        <v>478.13900000000001</v>
      </c>
      <c r="G57" s="61">
        <v>945.995</v>
      </c>
      <c r="H57" s="61">
        <v>727.3</v>
      </c>
      <c r="I57" s="61" t="s">
        <v>13</v>
      </c>
      <c r="J57" s="61">
        <v>0.55300000000000005</v>
      </c>
    </row>
    <row r="58" spans="1:10" x14ac:dyDescent="0.2">
      <c r="A58" s="69" t="s">
        <v>110</v>
      </c>
      <c r="B58" s="70" t="s">
        <v>206</v>
      </c>
      <c r="C58" s="69" t="s">
        <v>207</v>
      </c>
      <c r="D58" s="61" t="s">
        <v>110</v>
      </c>
      <c r="E58" s="61" t="s">
        <v>13</v>
      </c>
      <c r="F58" s="61" t="s">
        <v>110</v>
      </c>
      <c r="G58" s="61" t="s">
        <v>110</v>
      </c>
      <c r="H58" s="61" t="s">
        <v>13</v>
      </c>
      <c r="I58" s="61" t="s">
        <v>209</v>
      </c>
      <c r="J58" s="61" t="s">
        <v>110</v>
      </c>
    </row>
    <row r="59" spans="1:10" x14ac:dyDescent="0.2">
      <c r="A59" s="69" t="s">
        <v>13</v>
      </c>
      <c r="B59" s="70" t="s">
        <v>13</v>
      </c>
      <c r="C59" s="69" t="s">
        <v>13</v>
      </c>
      <c r="D59" s="61" t="s">
        <v>13</v>
      </c>
      <c r="E59" s="61" t="s">
        <v>13</v>
      </c>
      <c r="F59" s="61" t="s">
        <v>13</v>
      </c>
      <c r="G59" s="61" t="s">
        <v>13</v>
      </c>
      <c r="H59" s="61" t="s">
        <v>13</v>
      </c>
      <c r="I59" s="61" t="s">
        <v>13</v>
      </c>
      <c r="J59" s="61" t="s">
        <v>13</v>
      </c>
    </row>
    <row r="60" spans="1:10" x14ac:dyDescent="0.2">
      <c r="A60" s="69" t="s">
        <v>13</v>
      </c>
      <c r="B60" s="70" t="s">
        <v>13</v>
      </c>
      <c r="C60" s="69" t="s">
        <v>13</v>
      </c>
      <c r="D60" s="61" t="s">
        <v>13</v>
      </c>
      <c r="E60" s="61" t="s">
        <v>13</v>
      </c>
      <c r="F60" s="61" t="s">
        <v>13</v>
      </c>
      <c r="G60" s="61" t="s">
        <v>13</v>
      </c>
      <c r="H60" s="61" t="s">
        <v>13</v>
      </c>
      <c r="I60" s="61" t="s">
        <v>13</v>
      </c>
      <c r="J60" s="61" t="s">
        <v>13</v>
      </c>
    </row>
    <row r="61" spans="1:10" x14ac:dyDescent="0.2">
      <c r="A61" s="69" t="s">
        <v>46</v>
      </c>
      <c r="B61" s="70" t="s">
        <v>223</v>
      </c>
      <c r="C61" s="69">
        <v>12.105</v>
      </c>
      <c r="D61" s="61">
        <v>2390.8850000000002</v>
      </c>
      <c r="E61" s="61">
        <v>10.9</v>
      </c>
      <c r="F61" s="61">
        <v>245.892</v>
      </c>
      <c r="G61" s="61">
        <v>2398.5360000000001</v>
      </c>
      <c r="H61" s="61">
        <v>882.2</v>
      </c>
      <c r="I61" s="61" t="s">
        <v>13</v>
      </c>
      <c r="J61" s="61">
        <v>167.816</v>
      </c>
    </row>
    <row r="62" spans="1:10" x14ac:dyDescent="0.2">
      <c r="A62" s="69" t="s">
        <v>110</v>
      </c>
      <c r="B62" s="70" t="s">
        <v>206</v>
      </c>
      <c r="C62" s="69" t="s">
        <v>207</v>
      </c>
      <c r="D62" s="61" t="s">
        <v>110</v>
      </c>
      <c r="E62" s="61" t="s">
        <v>13</v>
      </c>
      <c r="F62" s="61" t="s">
        <v>110</v>
      </c>
      <c r="G62" s="61" t="s">
        <v>110</v>
      </c>
      <c r="H62" s="61" t="s">
        <v>13</v>
      </c>
      <c r="I62" s="61" t="s">
        <v>209</v>
      </c>
      <c r="J62" s="61" t="s">
        <v>110</v>
      </c>
    </row>
    <row r="63" spans="1:10" x14ac:dyDescent="0.2">
      <c r="A63" s="69" t="s">
        <v>13</v>
      </c>
      <c r="B63" s="70" t="s">
        <v>13</v>
      </c>
      <c r="C63" s="69" t="s">
        <v>13</v>
      </c>
      <c r="D63" s="61" t="s">
        <v>13</v>
      </c>
      <c r="E63" s="61" t="s">
        <v>13</v>
      </c>
      <c r="F63" s="61" t="s">
        <v>13</v>
      </c>
      <c r="G63" s="61" t="s">
        <v>13</v>
      </c>
      <c r="H63" s="61" t="s">
        <v>13</v>
      </c>
      <c r="I63" s="61" t="s">
        <v>13</v>
      </c>
      <c r="J63" s="61" t="s">
        <v>13</v>
      </c>
    </row>
    <row r="64" spans="1:10" x14ac:dyDescent="0.2">
      <c r="A64" s="69" t="s">
        <v>13</v>
      </c>
      <c r="B64" s="70" t="s">
        <v>13</v>
      </c>
      <c r="C64" s="69" t="s">
        <v>13</v>
      </c>
      <c r="D64" s="61" t="s">
        <v>13</v>
      </c>
      <c r="E64" s="61" t="s">
        <v>13</v>
      </c>
      <c r="F64" s="61" t="s">
        <v>13</v>
      </c>
      <c r="G64" s="61" t="s">
        <v>13</v>
      </c>
      <c r="H64" s="61" t="s">
        <v>13</v>
      </c>
      <c r="I64" s="61" t="s">
        <v>13</v>
      </c>
      <c r="J64" s="61" t="s">
        <v>13</v>
      </c>
    </row>
    <row r="65" spans="1:10" x14ac:dyDescent="0.2">
      <c r="A65" s="69" t="s">
        <v>51</v>
      </c>
      <c r="B65" s="70" t="s">
        <v>224</v>
      </c>
      <c r="C65" s="69">
        <v>0.95499999999999996</v>
      </c>
      <c r="D65" s="61">
        <v>275.38400000000001</v>
      </c>
      <c r="E65" s="61">
        <v>11.7</v>
      </c>
      <c r="F65" s="61">
        <v>3774.8980000000001</v>
      </c>
      <c r="G65" s="61">
        <v>276.26499999999999</v>
      </c>
      <c r="H65" s="61">
        <v>786.3</v>
      </c>
      <c r="I65" s="61" t="s">
        <v>309</v>
      </c>
      <c r="J65" s="61">
        <v>3.3140000000000001</v>
      </c>
    </row>
    <row r="66" spans="1:10" x14ac:dyDescent="0.2">
      <c r="A66" s="69" t="s">
        <v>53</v>
      </c>
      <c r="B66" s="70" t="s">
        <v>224</v>
      </c>
      <c r="C66" s="69">
        <v>0.89100000000000001</v>
      </c>
      <c r="D66" s="61">
        <v>265.44200000000001</v>
      </c>
      <c r="E66" s="61">
        <v>11.8</v>
      </c>
      <c r="F66" s="61">
        <v>3798.0259999999998</v>
      </c>
      <c r="G66" s="61">
        <v>266.291</v>
      </c>
      <c r="H66" s="61">
        <v>785.2</v>
      </c>
      <c r="I66" s="61" t="s">
        <v>211</v>
      </c>
      <c r="J66" s="61">
        <v>0.38700000000000001</v>
      </c>
    </row>
    <row r="67" spans="1:10" x14ac:dyDescent="0.2">
      <c r="A67" s="69" t="s">
        <v>57</v>
      </c>
      <c r="B67" s="70" t="s">
        <v>224</v>
      </c>
      <c r="C67" s="69">
        <v>1.242</v>
      </c>
      <c r="D67" s="61">
        <v>635.97299999999996</v>
      </c>
      <c r="E67" s="61">
        <v>17.5</v>
      </c>
      <c r="F67" s="61">
        <v>6058.5879999999997</v>
      </c>
      <c r="G67" s="61">
        <v>634.45899999999995</v>
      </c>
      <c r="H67" s="61">
        <v>790.6</v>
      </c>
      <c r="I67" s="61" t="s">
        <v>13</v>
      </c>
      <c r="J67" s="61">
        <v>1.091</v>
      </c>
    </row>
    <row r="68" spans="1:10" x14ac:dyDescent="0.2">
      <c r="A68" s="69" t="s">
        <v>59</v>
      </c>
      <c r="B68" s="70" t="s">
        <v>224</v>
      </c>
      <c r="C68" s="69">
        <v>1.6539999999999999</v>
      </c>
      <c r="D68" s="61">
        <v>826.51499999999999</v>
      </c>
      <c r="E68" s="61">
        <v>15.1</v>
      </c>
      <c r="F68" s="61">
        <v>5868.0110000000004</v>
      </c>
      <c r="G68" s="61">
        <v>814.65499999999997</v>
      </c>
      <c r="H68" s="61">
        <v>787.7</v>
      </c>
      <c r="I68" s="61" t="s">
        <v>13</v>
      </c>
      <c r="J68" s="61">
        <v>261.274</v>
      </c>
    </row>
    <row r="69" spans="1:10" x14ac:dyDescent="0.2">
      <c r="A69" s="69" t="s">
        <v>61</v>
      </c>
      <c r="B69" s="70" t="s">
        <v>224</v>
      </c>
      <c r="C69" s="69">
        <v>7.8380000000000001</v>
      </c>
      <c r="D69" s="61">
        <v>4949.9359999999997</v>
      </c>
      <c r="E69" s="61">
        <v>15.4</v>
      </c>
      <c r="F69" s="61">
        <v>3645.587</v>
      </c>
      <c r="G69" s="61">
        <v>4960.3310000000001</v>
      </c>
      <c r="H69" s="61">
        <v>793.6</v>
      </c>
      <c r="I69" s="61" t="s">
        <v>13</v>
      </c>
      <c r="J69" s="61">
        <v>-913.95</v>
      </c>
    </row>
    <row r="70" spans="1:10" x14ac:dyDescent="0.2">
      <c r="A70" s="69" t="s">
        <v>110</v>
      </c>
      <c r="B70" s="70" t="s">
        <v>206</v>
      </c>
      <c r="C70" s="69" t="s">
        <v>207</v>
      </c>
      <c r="D70" s="61" t="s">
        <v>110</v>
      </c>
      <c r="E70" s="61" t="s">
        <v>13</v>
      </c>
      <c r="F70" s="61" t="s">
        <v>110</v>
      </c>
      <c r="G70" s="61" t="s">
        <v>110</v>
      </c>
      <c r="H70" s="61" t="s">
        <v>13</v>
      </c>
      <c r="I70" s="61" t="s">
        <v>209</v>
      </c>
      <c r="J70" s="61" t="s">
        <v>110</v>
      </c>
    </row>
    <row r="71" spans="1:10" x14ac:dyDescent="0.2">
      <c r="A71" s="69" t="s">
        <v>13</v>
      </c>
      <c r="B71" s="70" t="s">
        <v>13</v>
      </c>
      <c r="C71" s="69" t="s">
        <v>13</v>
      </c>
      <c r="D71" s="61" t="s">
        <v>13</v>
      </c>
      <c r="E71" s="61" t="s">
        <v>13</v>
      </c>
      <c r="F71" s="61" t="s">
        <v>13</v>
      </c>
      <c r="G71" s="61" t="s">
        <v>13</v>
      </c>
      <c r="H71" s="61" t="s">
        <v>13</v>
      </c>
      <c r="I71" s="61" t="s">
        <v>13</v>
      </c>
      <c r="J71" s="61" t="s">
        <v>13</v>
      </c>
    </row>
    <row r="72" spans="1:10" x14ac:dyDescent="0.2">
      <c r="A72" s="69" t="s">
        <v>13</v>
      </c>
      <c r="B72" s="70" t="s">
        <v>13</v>
      </c>
      <c r="C72" s="69" t="s">
        <v>13</v>
      </c>
      <c r="D72" s="61" t="s">
        <v>13</v>
      </c>
      <c r="E72" s="61" t="s">
        <v>13</v>
      </c>
      <c r="F72" s="61" t="s">
        <v>13</v>
      </c>
      <c r="G72" s="61" t="s">
        <v>13</v>
      </c>
      <c r="H72" s="61" t="s">
        <v>13</v>
      </c>
      <c r="I72" s="61" t="s">
        <v>13</v>
      </c>
      <c r="J72" s="61" t="s">
        <v>13</v>
      </c>
    </row>
    <row r="73" spans="1:10" x14ac:dyDescent="0.2">
      <c r="A73" s="69" t="s">
        <v>67</v>
      </c>
      <c r="B73" s="70" t="s">
        <v>225</v>
      </c>
      <c r="C73" s="69">
        <v>12.698</v>
      </c>
      <c r="D73" s="61">
        <v>8135.7849999999999</v>
      </c>
      <c r="E73" s="61">
        <v>13.9</v>
      </c>
      <c r="F73" s="61">
        <v>696.05200000000002</v>
      </c>
      <c r="G73" s="61">
        <v>8155.3109999999997</v>
      </c>
      <c r="H73" s="61">
        <v>834.5</v>
      </c>
      <c r="I73" s="61" t="s">
        <v>13</v>
      </c>
      <c r="J73" s="61">
        <v>1765.66</v>
      </c>
    </row>
    <row r="74" spans="1:10" x14ac:dyDescent="0.2">
      <c r="A74" s="69" t="s">
        <v>113</v>
      </c>
      <c r="B74" s="70" t="s">
        <v>225</v>
      </c>
      <c r="C74" s="69">
        <v>10.243</v>
      </c>
      <c r="D74" s="61">
        <v>4973.2560000000003</v>
      </c>
      <c r="E74" s="61">
        <v>23.3</v>
      </c>
      <c r="F74" s="61">
        <v>1560.54</v>
      </c>
      <c r="G74" s="61">
        <v>4938.4930000000004</v>
      </c>
      <c r="H74" s="61">
        <v>843</v>
      </c>
      <c r="I74" s="61" t="s">
        <v>13</v>
      </c>
      <c r="J74" s="61">
        <v>-228.875</v>
      </c>
    </row>
    <row r="75" spans="1:10" x14ac:dyDescent="0.2">
      <c r="A75" s="69" t="s">
        <v>69</v>
      </c>
      <c r="B75" s="70" t="s">
        <v>225</v>
      </c>
      <c r="C75" s="69">
        <v>13.494</v>
      </c>
      <c r="D75" s="61">
        <v>6538.3860000000004</v>
      </c>
      <c r="E75" s="61">
        <v>17.5</v>
      </c>
      <c r="F75" s="61">
        <v>2.8759999999999999</v>
      </c>
      <c r="G75" s="61">
        <v>6537.2740000000003</v>
      </c>
      <c r="H75" s="61">
        <v>836.4</v>
      </c>
      <c r="I75" s="61" t="s">
        <v>13</v>
      </c>
      <c r="J75" s="61">
        <v>-0.47899999999999998</v>
      </c>
    </row>
    <row r="76" spans="1:10" x14ac:dyDescent="0.2">
      <c r="A76" s="69" t="s">
        <v>110</v>
      </c>
      <c r="B76" s="70" t="s">
        <v>206</v>
      </c>
      <c r="C76" s="69" t="s">
        <v>207</v>
      </c>
      <c r="D76" s="61" t="s">
        <v>110</v>
      </c>
      <c r="E76" s="61" t="s">
        <v>13</v>
      </c>
      <c r="F76" s="61" t="s">
        <v>110</v>
      </c>
      <c r="G76" s="61" t="s">
        <v>110</v>
      </c>
      <c r="H76" s="61" t="s">
        <v>13</v>
      </c>
      <c r="I76" s="61" t="s">
        <v>209</v>
      </c>
      <c r="J76" s="61" t="s">
        <v>110</v>
      </c>
    </row>
    <row r="77" spans="1:10" x14ac:dyDescent="0.2">
      <c r="A77" s="69" t="s">
        <v>13</v>
      </c>
      <c r="B77" s="70" t="s">
        <v>13</v>
      </c>
      <c r="C77" s="69" t="s">
        <v>13</v>
      </c>
      <c r="D77" s="61" t="s">
        <v>13</v>
      </c>
      <c r="E77" s="61" t="s">
        <v>13</v>
      </c>
      <c r="F77" s="61" t="s">
        <v>13</v>
      </c>
      <c r="G77" s="61" t="s">
        <v>13</v>
      </c>
      <c r="H77" s="61" t="s">
        <v>13</v>
      </c>
      <c r="I77" s="61" t="s">
        <v>13</v>
      </c>
      <c r="J77" s="61" t="s">
        <v>13</v>
      </c>
    </row>
    <row r="78" spans="1:10" x14ac:dyDescent="0.2">
      <c r="A78" s="69" t="s">
        <v>13</v>
      </c>
      <c r="B78" s="70" t="s">
        <v>13</v>
      </c>
      <c r="C78" s="69" t="s">
        <v>13</v>
      </c>
      <c r="D78" s="61" t="s">
        <v>13</v>
      </c>
      <c r="E78" s="61" t="s">
        <v>13</v>
      </c>
      <c r="F78" s="61" t="s">
        <v>13</v>
      </c>
      <c r="G78" s="61" t="s">
        <v>13</v>
      </c>
      <c r="H78" s="61" t="s">
        <v>13</v>
      </c>
      <c r="I78" s="61" t="s">
        <v>13</v>
      </c>
      <c r="J78" s="61" t="s">
        <v>13</v>
      </c>
    </row>
    <row r="79" spans="1:10" x14ac:dyDescent="0.2">
      <c r="A79" s="69" t="s">
        <v>80</v>
      </c>
      <c r="B79" s="70" t="s">
        <v>226</v>
      </c>
      <c r="C79" s="69">
        <v>0.60499999999999998</v>
      </c>
      <c r="D79" s="61">
        <v>86.593000000000004</v>
      </c>
      <c r="E79" s="61">
        <v>11.3</v>
      </c>
      <c r="F79" s="61">
        <v>1471.4010000000001</v>
      </c>
      <c r="G79" s="61">
        <v>86.861000000000004</v>
      </c>
      <c r="H79" s="61">
        <v>827.7</v>
      </c>
      <c r="I79" s="61" t="s">
        <v>309</v>
      </c>
      <c r="J79" s="61">
        <v>0.79900000000000004</v>
      </c>
    </row>
    <row r="80" spans="1:10" x14ac:dyDescent="0.2">
      <c r="A80" s="69" t="s">
        <v>72</v>
      </c>
      <c r="B80" s="70" t="s">
        <v>226</v>
      </c>
      <c r="C80" s="69">
        <v>3.6120000000000001</v>
      </c>
      <c r="D80" s="61">
        <v>2225.6619999999998</v>
      </c>
      <c r="E80" s="61">
        <v>12.8</v>
      </c>
      <c r="F80" s="61">
        <v>5976.2489999999998</v>
      </c>
      <c r="G80" s="61">
        <v>2190.4969999999998</v>
      </c>
      <c r="H80" s="61">
        <v>827.6</v>
      </c>
      <c r="I80" s="61" t="s">
        <v>13</v>
      </c>
      <c r="J80" s="61">
        <v>-71.37</v>
      </c>
    </row>
    <row r="81" spans="1:10" x14ac:dyDescent="0.2">
      <c r="A81" s="69" t="s">
        <v>110</v>
      </c>
      <c r="B81" s="70" t="s">
        <v>206</v>
      </c>
      <c r="C81" s="69" t="s">
        <v>207</v>
      </c>
      <c r="D81" s="61" t="s">
        <v>110</v>
      </c>
      <c r="E81" s="61" t="s">
        <v>13</v>
      </c>
      <c r="F81" s="61" t="s">
        <v>110</v>
      </c>
      <c r="G81" s="61" t="s">
        <v>110</v>
      </c>
      <c r="H81" s="61" t="s">
        <v>13</v>
      </c>
      <c r="I81" s="61" t="s">
        <v>209</v>
      </c>
      <c r="J81" s="61" t="s">
        <v>110</v>
      </c>
    </row>
    <row r="82" spans="1:10" x14ac:dyDescent="0.2">
      <c r="A82" s="69" t="s">
        <v>13</v>
      </c>
      <c r="B82" s="70" t="s">
        <v>13</v>
      </c>
      <c r="C82" s="69" t="s">
        <v>13</v>
      </c>
      <c r="D82" s="61" t="s">
        <v>13</v>
      </c>
      <c r="E82" s="61" t="s">
        <v>13</v>
      </c>
      <c r="F82" s="61" t="s">
        <v>13</v>
      </c>
      <c r="G82" s="61" t="s">
        <v>13</v>
      </c>
      <c r="H82" s="61" t="s">
        <v>13</v>
      </c>
      <c r="I82" s="61" t="s">
        <v>13</v>
      </c>
      <c r="J82" s="61" t="s">
        <v>13</v>
      </c>
    </row>
    <row r="83" spans="1:10" x14ac:dyDescent="0.2">
      <c r="A83" s="69" t="s">
        <v>13</v>
      </c>
      <c r="B83" s="70" t="s">
        <v>13</v>
      </c>
      <c r="C83" s="69" t="s">
        <v>13</v>
      </c>
      <c r="D83" s="61" t="s">
        <v>13</v>
      </c>
      <c r="E83" s="61" t="s">
        <v>13</v>
      </c>
      <c r="F83" s="61" t="s">
        <v>13</v>
      </c>
      <c r="G83" s="61" t="s">
        <v>13</v>
      </c>
      <c r="H83" s="61" t="s">
        <v>13</v>
      </c>
      <c r="I83" s="61" t="s">
        <v>13</v>
      </c>
      <c r="J83" s="61" t="s">
        <v>13</v>
      </c>
    </row>
    <row r="84" spans="1:10" x14ac:dyDescent="0.2">
      <c r="A84" s="69" t="s">
        <v>71</v>
      </c>
      <c r="B84" s="70" t="s">
        <v>227</v>
      </c>
      <c r="C84" s="69">
        <v>3.4329999999999998</v>
      </c>
      <c r="D84" s="61">
        <v>2709.203</v>
      </c>
      <c r="E84" s="61">
        <v>17.7</v>
      </c>
      <c r="F84" s="61">
        <v>7789.607</v>
      </c>
      <c r="G84" s="61">
        <v>2702.8359999999998</v>
      </c>
      <c r="H84" s="61">
        <v>827.3</v>
      </c>
      <c r="I84" s="61" t="s">
        <v>13</v>
      </c>
      <c r="J84" s="61">
        <v>-0.12</v>
      </c>
    </row>
    <row r="85" spans="1:10" x14ac:dyDescent="0.2">
      <c r="A85" s="69" t="s">
        <v>74</v>
      </c>
      <c r="B85" s="70" t="s">
        <v>227</v>
      </c>
      <c r="C85" s="69">
        <v>7.1710000000000003</v>
      </c>
      <c r="D85" s="61">
        <v>9706.8340000000007</v>
      </c>
      <c r="E85" s="61">
        <v>20.100000000000001</v>
      </c>
      <c r="F85" s="61">
        <v>8968.0400000000009</v>
      </c>
      <c r="G85" s="61">
        <v>9669.4629999999997</v>
      </c>
      <c r="H85" s="61">
        <v>826.3</v>
      </c>
      <c r="I85" s="61" t="s">
        <v>13</v>
      </c>
      <c r="J85" s="61">
        <v>-2281.4549999999999</v>
      </c>
    </row>
    <row r="86" spans="1:10" x14ac:dyDescent="0.2">
      <c r="A86" s="69" t="s">
        <v>76</v>
      </c>
      <c r="B86" s="70" t="s">
        <v>227</v>
      </c>
      <c r="C86" s="69">
        <v>5.7220000000000004</v>
      </c>
      <c r="D86" s="61">
        <v>5693.4549999999999</v>
      </c>
      <c r="E86" s="61">
        <v>22.6</v>
      </c>
      <c r="F86" s="61">
        <v>7982.4560000000001</v>
      </c>
      <c r="G86" s="61">
        <v>5656.8459999999995</v>
      </c>
      <c r="H86" s="61">
        <v>826.6</v>
      </c>
      <c r="I86" s="61" t="s">
        <v>13</v>
      </c>
      <c r="J86" s="61">
        <v>202.08699999999999</v>
      </c>
    </row>
    <row r="87" spans="1:10" x14ac:dyDescent="0.2">
      <c r="A87" s="69" t="s">
        <v>110</v>
      </c>
      <c r="B87" s="70" t="s">
        <v>206</v>
      </c>
      <c r="C87" s="69" t="s">
        <v>207</v>
      </c>
      <c r="D87" s="61" t="s">
        <v>110</v>
      </c>
      <c r="E87" s="61" t="s">
        <v>13</v>
      </c>
      <c r="F87" s="61" t="s">
        <v>110</v>
      </c>
      <c r="G87" s="61" t="s">
        <v>110</v>
      </c>
      <c r="H87" s="61" t="s">
        <v>13</v>
      </c>
      <c r="I87" s="61" t="s">
        <v>209</v>
      </c>
      <c r="J87" s="61" t="s">
        <v>110</v>
      </c>
    </row>
    <row r="88" spans="1:10" x14ac:dyDescent="0.2">
      <c r="A88" s="69" t="s">
        <v>13</v>
      </c>
      <c r="B88" s="70" t="s">
        <v>13</v>
      </c>
      <c r="C88" s="69" t="s">
        <v>13</v>
      </c>
      <c r="D88" s="61" t="s">
        <v>13</v>
      </c>
      <c r="E88" s="61" t="s">
        <v>13</v>
      </c>
      <c r="F88" s="61" t="s">
        <v>13</v>
      </c>
      <c r="G88" s="61" t="s">
        <v>13</v>
      </c>
      <c r="H88" s="61" t="s">
        <v>13</v>
      </c>
      <c r="I88" s="61" t="s">
        <v>13</v>
      </c>
      <c r="J88" s="61" t="s">
        <v>13</v>
      </c>
    </row>
    <row r="89" spans="1:10" x14ac:dyDescent="0.2">
      <c r="A89" s="69" t="s">
        <v>13</v>
      </c>
      <c r="B89" s="70" t="s">
        <v>13</v>
      </c>
      <c r="C89" s="69" t="s">
        <v>13</v>
      </c>
      <c r="D89" s="61" t="s">
        <v>13</v>
      </c>
      <c r="E89" s="61" t="s">
        <v>13</v>
      </c>
      <c r="F89" s="61" t="s">
        <v>13</v>
      </c>
      <c r="G89" s="61" t="s">
        <v>13</v>
      </c>
      <c r="H89" s="61" t="s">
        <v>13</v>
      </c>
      <c r="I89" s="61" t="s">
        <v>13</v>
      </c>
      <c r="J89" s="61" t="s">
        <v>13</v>
      </c>
    </row>
    <row r="90" spans="1:10" x14ac:dyDescent="0.2">
      <c r="A90" s="69" t="s">
        <v>31</v>
      </c>
      <c r="B90" s="70" t="s">
        <v>228</v>
      </c>
      <c r="C90" s="69">
        <v>10.964</v>
      </c>
      <c r="D90" s="61">
        <v>1542.6469999999999</v>
      </c>
      <c r="E90" s="61">
        <v>12.7</v>
      </c>
      <c r="F90" s="61" t="s">
        <v>13</v>
      </c>
      <c r="G90" s="61">
        <v>1527.3440000000001</v>
      </c>
      <c r="H90" s="61">
        <v>838</v>
      </c>
      <c r="I90" s="61" t="s">
        <v>13</v>
      </c>
      <c r="J90" s="61">
        <v>0.28000000000000003</v>
      </c>
    </row>
    <row r="91" spans="1:10" x14ac:dyDescent="0.2">
      <c r="A91" s="69" t="s">
        <v>78</v>
      </c>
      <c r="B91" s="70" t="s">
        <v>228</v>
      </c>
      <c r="C91" s="69">
        <v>5.1849999999999996</v>
      </c>
      <c r="D91" s="61">
        <v>402.15899999999999</v>
      </c>
      <c r="E91" s="61">
        <v>15.6</v>
      </c>
      <c r="F91" s="61">
        <v>230.68299999999999</v>
      </c>
      <c r="G91" s="61">
        <v>401.95400000000001</v>
      </c>
      <c r="H91" s="61">
        <v>838.9</v>
      </c>
      <c r="I91" s="61" t="s">
        <v>13</v>
      </c>
      <c r="J91" s="61">
        <v>-115.87</v>
      </c>
    </row>
    <row r="92" spans="1:10" x14ac:dyDescent="0.2">
      <c r="A92" s="69" t="s">
        <v>110</v>
      </c>
      <c r="B92" s="70" t="s">
        <v>206</v>
      </c>
      <c r="C92" s="69" t="s">
        <v>207</v>
      </c>
      <c r="D92" s="61" t="s">
        <v>110</v>
      </c>
      <c r="E92" s="61" t="s">
        <v>13</v>
      </c>
      <c r="F92" s="61" t="s">
        <v>110</v>
      </c>
      <c r="G92" s="61" t="s">
        <v>110</v>
      </c>
      <c r="H92" s="61" t="s">
        <v>13</v>
      </c>
      <c r="I92" s="61" t="s">
        <v>209</v>
      </c>
      <c r="J92" s="61" t="s">
        <v>110</v>
      </c>
    </row>
    <row r="93" spans="1:10" x14ac:dyDescent="0.2">
      <c r="A93" s="69" t="s">
        <v>13</v>
      </c>
      <c r="B93" s="70" t="s">
        <v>13</v>
      </c>
      <c r="C93" s="69" t="s">
        <v>13</v>
      </c>
      <c r="D93" s="61" t="s">
        <v>13</v>
      </c>
      <c r="E93" s="61" t="s">
        <v>13</v>
      </c>
      <c r="F93" s="61" t="s">
        <v>13</v>
      </c>
      <c r="G93" s="61" t="s">
        <v>13</v>
      </c>
      <c r="H93" s="61" t="s">
        <v>13</v>
      </c>
      <c r="I93" s="61" t="s">
        <v>13</v>
      </c>
      <c r="J93" s="61" t="s">
        <v>13</v>
      </c>
    </row>
    <row r="94" spans="1:10" x14ac:dyDescent="0.2">
      <c r="A94" s="69" t="s">
        <v>13</v>
      </c>
      <c r="B94" s="70" t="s">
        <v>13</v>
      </c>
      <c r="C94" s="69" t="s">
        <v>13</v>
      </c>
      <c r="D94" s="61" t="s">
        <v>13</v>
      </c>
      <c r="E94" s="61" t="s">
        <v>13</v>
      </c>
      <c r="F94" s="61" t="s">
        <v>13</v>
      </c>
      <c r="G94" s="61" t="s">
        <v>13</v>
      </c>
      <c r="H94" s="61" t="s">
        <v>13</v>
      </c>
      <c r="I94" s="61" t="s">
        <v>13</v>
      </c>
      <c r="J94" s="61" t="s">
        <v>13</v>
      </c>
    </row>
    <row r="95" spans="1:10" x14ac:dyDescent="0.2">
      <c r="A95" s="69" t="s">
        <v>82</v>
      </c>
      <c r="B95" s="70" t="s">
        <v>229</v>
      </c>
      <c r="C95" s="69">
        <v>3.1720000000000002</v>
      </c>
      <c r="D95" s="61">
        <v>1085.9760000000001</v>
      </c>
      <c r="E95" s="61">
        <v>12.6</v>
      </c>
      <c r="F95" s="61">
        <v>3383.9810000000002</v>
      </c>
      <c r="G95" s="61">
        <v>1088.8</v>
      </c>
      <c r="H95" s="61">
        <v>812.3</v>
      </c>
      <c r="I95" s="61" t="s">
        <v>13</v>
      </c>
      <c r="J95" s="61">
        <v>0.67600000000000005</v>
      </c>
    </row>
    <row r="96" spans="1:10" x14ac:dyDescent="0.2">
      <c r="A96" s="69" t="s">
        <v>110</v>
      </c>
      <c r="B96" s="70" t="s">
        <v>206</v>
      </c>
      <c r="C96" s="69" t="s">
        <v>207</v>
      </c>
      <c r="D96" s="61" t="s">
        <v>110</v>
      </c>
      <c r="E96" s="61" t="s">
        <v>13</v>
      </c>
      <c r="F96" s="61" t="s">
        <v>110</v>
      </c>
      <c r="G96" s="61" t="s">
        <v>110</v>
      </c>
      <c r="H96" s="61" t="s">
        <v>13</v>
      </c>
      <c r="I96" s="61" t="s">
        <v>209</v>
      </c>
      <c r="J96" s="61" t="s">
        <v>110</v>
      </c>
    </row>
    <row r="97" spans="1:10" x14ac:dyDescent="0.2">
      <c r="A97" s="69" t="s">
        <v>13</v>
      </c>
      <c r="B97" s="70" t="s">
        <v>13</v>
      </c>
      <c r="C97" s="69" t="s">
        <v>13</v>
      </c>
      <c r="D97" s="61" t="s">
        <v>13</v>
      </c>
      <c r="E97" s="61" t="s">
        <v>13</v>
      </c>
      <c r="F97" s="61" t="s">
        <v>13</v>
      </c>
      <c r="G97" s="61" t="s">
        <v>13</v>
      </c>
      <c r="H97" s="61" t="s">
        <v>13</v>
      </c>
      <c r="I97" s="61" t="s">
        <v>13</v>
      </c>
      <c r="J97" s="61" t="s">
        <v>13</v>
      </c>
    </row>
    <row r="98" spans="1:10" x14ac:dyDescent="0.2">
      <c r="A98" s="69" t="s">
        <v>13</v>
      </c>
      <c r="B98" s="70" t="s">
        <v>13</v>
      </c>
      <c r="C98" s="69" t="s">
        <v>13</v>
      </c>
      <c r="D98" s="61" t="s">
        <v>13</v>
      </c>
      <c r="E98" s="61" t="s">
        <v>13</v>
      </c>
      <c r="F98" s="61" t="s">
        <v>13</v>
      </c>
      <c r="G98" s="61" t="s">
        <v>13</v>
      </c>
      <c r="H98" s="61" t="s">
        <v>13</v>
      </c>
      <c r="I98" s="61" t="s">
        <v>13</v>
      </c>
      <c r="J98" s="61" t="s">
        <v>13</v>
      </c>
    </row>
    <row r="99" spans="1:10" x14ac:dyDescent="0.2">
      <c r="A99" s="69" t="s">
        <v>94</v>
      </c>
      <c r="B99" s="70" t="s">
        <v>230</v>
      </c>
      <c r="C99" s="69">
        <v>3.1070000000000002</v>
      </c>
      <c r="D99" s="61">
        <v>5443.0780000000004</v>
      </c>
      <c r="E99" s="61">
        <v>61.7</v>
      </c>
      <c r="F99" s="61">
        <v>17891.924999999999</v>
      </c>
      <c r="G99" s="61">
        <v>5263.0209999999997</v>
      </c>
      <c r="H99" s="61">
        <v>967.9</v>
      </c>
      <c r="I99" s="61" t="s">
        <v>13</v>
      </c>
      <c r="J99" s="61">
        <v>2539.299</v>
      </c>
    </row>
    <row r="100" spans="1:10" x14ac:dyDescent="0.2">
      <c r="A100" s="69" t="s">
        <v>90</v>
      </c>
      <c r="B100" s="70" t="s">
        <v>230</v>
      </c>
      <c r="C100" s="69">
        <v>0.437</v>
      </c>
      <c r="D100" s="61">
        <v>1221.7429999999999</v>
      </c>
      <c r="E100" s="61">
        <v>71</v>
      </c>
      <c r="F100" s="61">
        <v>21980.598999999998</v>
      </c>
      <c r="G100" s="61">
        <v>1164.077</v>
      </c>
      <c r="H100" s="61">
        <v>964.5</v>
      </c>
      <c r="I100" s="61" t="s">
        <v>211</v>
      </c>
      <c r="J100" s="61">
        <v>1.5660000000000001</v>
      </c>
    </row>
    <row r="101" spans="1:10" x14ac:dyDescent="0.2">
      <c r="A101" s="69" t="s">
        <v>89</v>
      </c>
      <c r="B101" s="70" t="s">
        <v>230</v>
      </c>
      <c r="C101" s="69">
        <v>0.499</v>
      </c>
      <c r="D101" s="61">
        <v>464.976</v>
      </c>
      <c r="E101" s="61">
        <v>34.5</v>
      </c>
      <c r="F101" s="61">
        <v>10715.200999999999</v>
      </c>
      <c r="G101" s="61">
        <v>458.55</v>
      </c>
      <c r="H101" s="61">
        <v>963.4</v>
      </c>
      <c r="I101" s="61" t="s">
        <v>211</v>
      </c>
      <c r="J101" s="61">
        <v>7.0119999999999996</v>
      </c>
    </row>
    <row r="102" spans="1:10" x14ac:dyDescent="0.2">
      <c r="A102" s="69" t="s">
        <v>162</v>
      </c>
      <c r="B102" s="70" t="s">
        <v>230</v>
      </c>
      <c r="C102" s="69">
        <v>0.51900000000000002</v>
      </c>
      <c r="D102" s="61">
        <v>1559.3630000000001</v>
      </c>
      <c r="E102" s="61">
        <v>16</v>
      </c>
      <c r="F102" s="61">
        <v>27146.668000000001</v>
      </c>
      <c r="G102" s="61">
        <v>1558.271</v>
      </c>
      <c r="H102" s="61">
        <v>965</v>
      </c>
      <c r="I102" s="61" t="s">
        <v>211</v>
      </c>
      <c r="J102" s="61">
        <v>1.903</v>
      </c>
    </row>
    <row r="103" spans="1:10" x14ac:dyDescent="0.2">
      <c r="A103" s="69" t="s">
        <v>110</v>
      </c>
      <c r="B103" s="70" t="s">
        <v>206</v>
      </c>
      <c r="C103" s="69" t="s">
        <v>207</v>
      </c>
      <c r="D103" s="61" t="s">
        <v>110</v>
      </c>
      <c r="E103" s="61" t="s">
        <v>13</v>
      </c>
      <c r="F103" s="61" t="s">
        <v>110</v>
      </c>
      <c r="G103" s="61" t="s">
        <v>110</v>
      </c>
      <c r="H103" s="61" t="s">
        <v>13</v>
      </c>
      <c r="I103" s="61" t="s">
        <v>209</v>
      </c>
      <c r="J103" s="61" t="s">
        <v>110</v>
      </c>
    </row>
    <row r="104" spans="1:10" x14ac:dyDescent="0.2">
      <c r="A104" s="69" t="s">
        <v>13</v>
      </c>
      <c r="B104" s="70" t="s">
        <v>13</v>
      </c>
      <c r="C104" s="69" t="s">
        <v>13</v>
      </c>
      <c r="D104" s="61" t="s">
        <v>13</v>
      </c>
      <c r="E104" s="61" t="s">
        <v>13</v>
      </c>
      <c r="F104" s="61" t="s">
        <v>13</v>
      </c>
      <c r="G104" s="61" t="s">
        <v>13</v>
      </c>
      <c r="H104" s="61" t="s">
        <v>13</v>
      </c>
      <c r="I104" s="61" t="s">
        <v>13</v>
      </c>
      <c r="J104" s="61" t="s">
        <v>13</v>
      </c>
    </row>
    <row r="105" spans="1:10" x14ac:dyDescent="0.2">
      <c r="A105" s="69" t="s">
        <v>13</v>
      </c>
      <c r="B105" s="70" t="s">
        <v>13</v>
      </c>
      <c r="C105" s="69" t="s">
        <v>13</v>
      </c>
      <c r="D105" s="61" t="s">
        <v>13</v>
      </c>
      <c r="E105" s="61" t="s">
        <v>13</v>
      </c>
      <c r="F105" s="61" t="s">
        <v>13</v>
      </c>
      <c r="G105" s="61" t="s">
        <v>13</v>
      </c>
      <c r="H105" s="61" t="s">
        <v>13</v>
      </c>
      <c r="I105" s="61" t="s">
        <v>13</v>
      </c>
      <c r="J105" s="61" t="s">
        <v>13</v>
      </c>
    </row>
    <row r="106" spans="1:10" x14ac:dyDescent="0.2">
      <c r="A106" s="69" t="s">
        <v>173</v>
      </c>
      <c r="B106" s="70" t="s">
        <v>231</v>
      </c>
      <c r="C106" s="69">
        <v>9.3000000000000007</v>
      </c>
      <c r="D106" s="61">
        <v>1156.7929999999999</v>
      </c>
      <c r="E106" s="61">
        <v>69</v>
      </c>
      <c r="F106" s="61">
        <v>549</v>
      </c>
      <c r="G106" s="61">
        <v>1113.6790000000001</v>
      </c>
      <c r="H106" s="61">
        <v>988.7</v>
      </c>
      <c r="I106" s="61" t="s">
        <v>13</v>
      </c>
      <c r="J106" s="61">
        <v>-28.952000000000002</v>
      </c>
    </row>
    <row r="107" spans="1:10" x14ac:dyDescent="0.2">
      <c r="A107" s="69" t="s">
        <v>110</v>
      </c>
      <c r="B107" s="70" t="s">
        <v>206</v>
      </c>
      <c r="C107" s="69" t="s">
        <v>207</v>
      </c>
      <c r="D107" s="61" t="s">
        <v>110</v>
      </c>
      <c r="E107" s="61" t="s">
        <v>13</v>
      </c>
      <c r="F107" s="61" t="s">
        <v>110</v>
      </c>
      <c r="G107" s="61" t="s">
        <v>110</v>
      </c>
      <c r="H107" s="61" t="s">
        <v>13</v>
      </c>
      <c r="I107" s="61" t="s">
        <v>209</v>
      </c>
      <c r="J107" s="61" t="s">
        <v>110</v>
      </c>
    </row>
    <row r="108" spans="1:10" x14ac:dyDescent="0.2">
      <c r="A108" s="69" t="s">
        <v>13</v>
      </c>
      <c r="B108" s="70" t="s">
        <v>13</v>
      </c>
      <c r="C108" s="69" t="s">
        <v>13</v>
      </c>
      <c r="D108" s="61" t="s">
        <v>13</v>
      </c>
      <c r="E108" s="61" t="s">
        <v>13</v>
      </c>
      <c r="F108" s="61" t="s">
        <v>13</v>
      </c>
      <c r="G108" s="61" t="s">
        <v>13</v>
      </c>
      <c r="H108" s="61" t="s">
        <v>13</v>
      </c>
      <c r="I108" s="61" t="s">
        <v>13</v>
      </c>
      <c r="J108" s="61" t="s">
        <v>13</v>
      </c>
    </row>
    <row r="109" spans="1:10" x14ac:dyDescent="0.2">
      <c r="A109" s="69" t="s">
        <v>13</v>
      </c>
      <c r="B109" s="70" t="s">
        <v>13</v>
      </c>
      <c r="C109" s="69" t="s">
        <v>13</v>
      </c>
      <c r="D109" s="61" t="s">
        <v>13</v>
      </c>
      <c r="E109" s="61" t="s">
        <v>13</v>
      </c>
      <c r="F109" s="61" t="s">
        <v>13</v>
      </c>
      <c r="G109" s="61" t="s">
        <v>13</v>
      </c>
      <c r="H109" s="61" t="s">
        <v>13</v>
      </c>
      <c r="I109" s="61" t="s">
        <v>13</v>
      </c>
      <c r="J109" s="61" t="s">
        <v>13</v>
      </c>
    </row>
    <row r="110" spans="1:10" x14ac:dyDescent="0.2">
      <c r="A110" s="69" t="s">
        <v>85</v>
      </c>
      <c r="B110" s="70" t="s">
        <v>232</v>
      </c>
      <c r="C110" s="69">
        <v>5.3250000000000002</v>
      </c>
      <c r="D110" s="61">
        <v>1635.768</v>
      </c>
      <c r="E110" s="61">
        <v>60.1</v>
      </c>
      <c r="F110" s="61">
        <v>1995.654</v>
      </c>
      <c r="G110" s="61">
        <v>1581.3789999999999</v>
      </c>
      <c r="H110" s="61">
        <v>977.5</v>
      </c>
      <c r="I110" s="61" t="s">
        <v>13</v>
      </c>
      <c r="J110" s="61">
        <v>-171.40199999999999</v>
      </c>
    </row>
    <row r="111" spans="1:10" x14ac:dyDescent="0.2">
      <c r="A111" s="69" t="s">
        <v>91</v>
      </c>
      <c r="B111" s="70" t="s">
        <v>232</v>
      </c>
      <c r="C111" s="69">
        <v>0.96599999999999997</v>
      </c>
      <c r="D111" s="61">
        <v>264.79500000000002</v>
      </c>
      <c r="E111" s="61">
        <v>26.2</v>
      </c>
      <c r="F111" s="61">
        <v>2532.2629999999999</v>
      </c>
      <c r="G111" s="61">
        <v>262.73200000000003</v>
      </c>
      <c r="H111" s="61">
        <v>977.5</v>
      </c>
      <c r="I111" s="61" t="s">
        <v>13</v>
      </c>
      <c r="J111" s="61">
        <v>0.38600000000000001</v>
      </c>
    </row>
    <row r="112" spans="1:10" x14ac:dyDescent="0.2">
      <c r="A112" s="69" t="s">
        <v>110</v>
      </c>
      <c r="B112" s="70" t="s">
        <v>206</v>
      </c>
      <c r="C112" s="69" t="s">
        <v>207</v>
      </c>
      <c r="D112" s="61" t="s">
        <v>110</v>
      </c>
      <c r="E112" s="61" t="s">
        <v>13</v>
      </c>
      <c r="F112" s="61" t="s">
        <v>110</v>
      </c>
      <c r="G112" s="61" t="s">
        <v>110</v>
      </c>
      <c r="H112" s="61" t="s">
        <v>13</v>
      </c>
      <c r="I112" s="61" t="s">
        <v>209</v>
      </c>
      <c r="J112" s="61" t="s">
        <v>110</v>
      </c>
    </row>
    <row r="113" spans="1:10" x14ac:dyDescent="0.2">
      <c r="A113" s="69" t="s">
        <v>13</v>
      </c>
      <c r="B113" s="70" t="s">
        <v>13</v>
      </c>
      <c r="C113" s="69" t="s">
        <v>13</v>
      </c>
      <c r="D113" s="61" t="s">
        <v>13</v>
      </c>
      <c r="E113" s="61" t="s">
        <v>13</v>
      </c>
      <c r="F113" s="61" t="s">
        <v>13</v>
      </c>
      <c r="G113" s="61" t="s">
        <v>13</v>
      </c>
      <c r="H113" s="61" t="s">
        <v>13</v>
      </c>
      <c r="I113" s="61" t="s">
        <v>13</v>
      </c>
      <c r="J113" s="61" t="s">
        <v>13</v>
      </c>
    </row>
    <row r="114" spans="1:10" x14ac:dyDescent="0.2">
      <c r="A114" s="69" t="s">
        <v>13</v>
      </c>
      <c r="B114" s="70" t="s">
        <v>13</v>
      </c>
      <c r="C114" s="69" t="s">
        <v>13</v>
      </c>
      <c r="D114" s="61" t="s">
        <v>13</v>
      </c>
      <c r="E114" s="61" t="s">
        <v>13</v>
      </c>
      <c r="F114" s="61" t="s">
        <v>13</v>
      </c>
      <c r="G114" s="61" t="s">
        <v>13</v>
      </c>
      <c r="H114" s="61" t="s">
        <v>13</v>
      </c>
      <c r="I114" s="61" t="s">
        <v>13</v>
      </c>
      <c r="J114" s="61" t="s">
        <v>13</v>
      </c>
    </row>
    <row r="115" spans="1:10" x14ac:dyDescent="0.2">
      <c r="A115" s="69" t="s">
        <v>84</v>
      </c>
      <c r="B115" s="70" t="s">
        <v>233</v>
      </c>
      <c r="C115" s="69">
        <v>12.228</v>
      </c>
      <c r="D115" s="61">
        <v>17036.382000000001</v>
      </c>
      <c r="E115" s="61">
        <v>60.9</v>
      </c>
      <c r="F115" s="61">
        <v>2427.1469999999999</v>
      </c>
      <c r="G115" s="61">
        <v>16546.756000000001</v>
      </c>
      <c r="H115" s="61">
        <v>985</v>
      </c>
      <c r="I115" s="61" t="s">
        <v>13</v>
      </c>
      <c r="J115" s="61">
        <v>-197.77699999999999</v>
      </c>
    </row>
    <row r="116" spans="1:10" x14ac:dyDescent="0.2">
      <c r="A116" s="69" t="s">
        <v>87</v>
      </c>
      <c r="B116" s="70" t="s">
        <v>233</v>
      </c>
      <c r="C116" s="69">
        <v>4.484</v>
      </c>
      <c r="D116" s="61">
        <v>7821.1109999999999</v>
      </c>
      <c r="E116" s="61">
        <v>63.6</v>
      </c>
      <c r="F116" s="61">
        <v>15330.39</v>
      </c>
      <c r="G116" s="61">
        <v>7584.9129999999996</v>
      </c>
      <c r="H116" s="61">
        <v>985.8</v>
      </c>
      <c r="I116" s="61" t="s">
        <v>13</v>
      </c>
      <c r="J116" s="61">
        <v>4529.4889999999996</v>
      </c>
    </row>
    <row r="117" spans="1:10" x14ac:dyDescent="0.2">
      <c r="A117" s="69" t="s">
        <v>110</v>
      </c>
      <c r="B117" s="70" t="s">
        <v>206</v>
      </c>
      <c r="C117" s="69" t="s">
        <v>207</v>
      </c>
      <c r="D117" s="61" t="s">
        <v>110</v>
      </c>
      <c r="E117" s="61" t="s">
        <v>13</v>
      </c>
      <c r="F117" s="61" t="s">
        <v>110</v>
      </c>
      <c r="G117" s="61" t="s">
        <v>110</v>
      </c>
      <c r="H117" s="61" t="s">
        <v>13</v>
      </c>
      <c r="I117" s="61" t="s">
        <v>209</v>
      </c>
      <c r="J117" s="61" t="s">
        <v>110</v>
      </c>
    </row>
    <row r="118" spans="1:10" x14ac:dyDescent="0.2">
      <c r="A118" s="69" t="s">
        <v>13</v>
      </c>
      <c r="B118" s="70" t="s">
        <v>13</v>
      </c>
      <c r="C118" s="69" t="s">
        <v>13</v>
      </c>
      <c r="D118" s="61" t="s">
        <v>13</v>
      </c>
      <c r="E118" s="61" t="s">
        <v>13</v>
      </c>
      <c r="F118" s="61" t="s">
        <v>13</v>
      </c>
      <c r="G118" s="61" t="s">
        <v>13</v>
      </c>
      <c r="H118" s="61" t="s">
        <v>13</v>
      </c>
      <c r="I118" s="61" t="s">
        <v>13</v>
      </c>
      <c r="J118" s="61" t="s">
        <v>13</v>
      </c>
    </row>
    <row r="119" spans="1:10" x14ac:dyDescent="0.2">
      <c r="A119" s="69" t="s">
        <v>13</v>
      </c>
      <c r="B119" s="70" t="s">
        <v>13</v>
      </c>
      <c r="C119" s="69" t="s">
        <v>13</v>
      </c>
      <c r="D119" s="61" t="s">
        <v>13</v>
      </c>
      <c r="E119" s="61" t="s">
        <v>13</v>
      </c>
      <c r="F119" s="61" t="s">
        <v>13</v>
      </c>
      <c r="G119" s="61" t="s">
        <v>13</v>
      </c>
      <c r="H119" s="61" t="s">
        <v>13</v>
      </c>
      <c r="I119" s="61" t="s">
        <v>13</v>
      </c>
      <c r="J119" s="61" t="s">
        <v>13</v>
      </c>
    </row>
    <row r="120" spans="1:10" x14ac:dyDescent="0.2">
      <c r="A120" s="69" t="s">
        <v>93</v>
      </c>
      <c r="B120" s="70" t="s">
        <v>234</v>
      </c>
      <c r="C120" s="69">
        <v>5.3419999999999996</v>
      </c>
      <c r="D120" s="61">
        <v>8996.9240000000009</v>
      </c>
      <c r="E120" s="61">
        <v>55.9</v>
      </c>
      <c r="F120" s="61">
        <v>14394.358</v>
      </c>
      <c r="G120" s="61">
        <v>8719.6389999999992</v>
      </c>
      <c r="H120" s="61">
        <v>921.7</v>
      </c>
      <c r="I120" s="61" t="s">
        <v>13</v>
      </c>
      <c r="J120" s="61">
        <v>2.5150000000000001</v>
      </c>
    </row>
    <row r="121" spans="1:10" x14ac:dyDescent="0.2">
      <c r="A121" s="69" t="s">
        <v>110</v>
      </c>
      <c r="B121" s="70" t="s">
        <v>206</v>
      </c>
      <c r="C121" s="69" t="s">
        <v>207</v>
      </c>
      <c r="D121" s="61" t="s">
        <v>110</v>
      </c>
      <c r="E121" s="61" t="s">
        <v>13</v>
      </c>
      <c r="F121" s="61" t="s">
        <v>110</v>
      </c>
      <c r="G121" s="61" t="s">
        <v>110</v>
      </c>
      <c r="H121" s="61" t="s">
        <v>13</v>
      </c>
      <c r="I121" s="61" t="s">
        <v>209</v>
      </c>
      <c r="J121" s="61" t="s">
        <v>110</v>
      </c>
    </row>
    <row r="122" spans="1:10" x14ac:dyDescent="0.2">
      <c r="A122" s="69" t="s">
        <v>13</v>
      </c>
      <c r="B122" s="70" t="s">
        <v>13</v>
      </c>
      <c r="C122" s="69" t="s">
        <v>13</v>
      </c>
      <c r="D122" s="61" t="s">
        <v>13</v>
      </c>
      <c r="E122" s="61" t="s">
        <v>13</v>
      </c>
      <c r="F122" s="61" t="s">
        <v>13</v>
      </c>
      <c r="G122" s="61" t="s">
        <v>13</v>
      </c>
      <c r="H122" s="61" t="s">
        <v>13</v>
      </c>
      <c r="I122" s="61" t="s">
        <v>13</v>
      </c>
      <c r="J122" s="61" t="s">
        <v>13</v>
      </c>
    </row>
    <row r="123" spans="1:10" x14ac:dyDescent="0.2">
      <c r="A123" s="69" t="s">
        <v>13</v>
      </c>
      <c r="B123" s="70" t="s">
        <v>13</v>
      </c>
      <c r="C123" s="69" t="s">
        <v>13</v>
      </c>
      <c r="D123" s="61" t="s">
        <v>13</v>
      </c>
      <c r="E123" s="61" t="s">
        <v>13</v>
      </c>
      <c r="F123" s="61" t="s">
        <v>13</v>
      </c>
      <c r="G123" s="61" t="s">
        <v>13</v>
      </c>
      <c r="H123" s="61" t="s">
        <v>13</v>
      </c>
      <c r="I123" s="61" t="s">
        <v>13</v>
      </c>
      <c r="J123" s="61" t="s">
        <v>13</v>
      </c>
    </row>
    <row r="124" spans="1:10" x14ac:dyDescent="0.2">
      <c r="A124" s="69" t="s">
        <v>95</v>
      </c>
      <c r="B124" s="70" t="s">
        <v>235</v>
      </c>
      <c r="C124" s="69">
        <v>0.69099999999999995</v>
      </c>
      <c r="D124" s="61">
        <v>1022.034</v>
      </c>
      <c r="E124" s="61">
        <v>118.7</v>
      </c>
      <c r="F124" s="61">
        <v>13971.047</v>
      </c>
      <c r="G124" s="61">
        <v>959.17899999999997</v>
      </c>
      <c r="H124" s="61">
        <v>1034</v>
      </c>
      <c r="I124" s="61" t="s">
        <v>309</v>
      </c>
      <c r="J124" s="61">
        <v>2.944</v>
      </c>
    </row>
    <row r="125" spans="1:10" x14ac:dyDescent="0.2">
      <c r="A125" s="69" t="s">
        <v>97</v>
      </c>
      <c r="B125" s="70" t="s">
        <v>235</v>
      </c>
      <c r="C125" s="69">
        <v>2.2629999999999999</v>
      </c>
      <c r="D125" s="61">
        <v>262.79399999999998</v>
      </c>
      <c r="E125" s="61">
        <v>132.30000000000001</v>
      </c>
      <c r="F125" s="61">
        <v>1236.8119999999999</v>
      </c>
      <c r="G125" s="61">
        <v>239.983</v>
      </c>
      <c r="H125" s="61">
        <v>1035</v>
      </c>
      <c r="I125" s="61" t="s">
        <v>13</v>
      </c>
      <c r="J125" s="61">
        <v>-5.0000000000000001E-3</v>
      </c>
    </row>
    <row r="126" spans="1:10" x14ac:dyDescent="0.2">
      <c r="A126" s="69" t="s">
        <v>98</v>
      </c>
      <c r="B126" s="70" t="s">
        <v>235</v>
      </c>
      <c r="C126" s="69">
        <v>0.79700000000000004</v>
      </c>
      <c r="D126" s="61">
        <v>367.98200000000003</v>
      </c>
      <c r="E126" s="61">
        <v>109.5</v>
      </c>
      <c r="F126" s="61">
        <v>4380.701</v>
      </c>
      <c r="G126" s="61">
        <v>347.27199999999999</v>
      </c>
      <c r="H126" s="61">
        <v>1034</v>
      </c>
      <c r="I126" s="61" t="s">
        <v>13</v>
      </c>
      <c r="J126" s="61">
        <v>1.7010000000000001</v>
      </c>
    </row>
    <row r="127" spans="1:10" x14ac:dyDescent="0.2">
      <c r="A127" s="69" t="s">
        <v>110</v>
      </c>
      <c r="B127" s="70" t="s">
        <v>206</v>
      </c>
      <c r="C127" s="69" t="s">
        <v>207</v>
      </c>
      <c r="D127" s="61" t="s">
        <v>110</v>
      </c>
      <c r="E127" s="61" t="s">
        <v>13</v>
      </c>
      <c r="F127" s="61" t="s">
        <v>110</v>
      </c>
      <c r="G127" s="61" t="s">
        <v>110</v>
      </c>
      <c r="H127" s="61" t="s">
        <v>13</v>
      </c>
      <c r="I127" s="61" t="s">
        <v>209</v>
      </c>
      <c r="J127" s="61" t="s">
        <v>110</v>
      </c>
    </row>
    <row r="128" spans="1:10" x14ac:dyDescent="0.2">
      <c r="A128" s="69" t="s">
        <v>13</v>
      </c>
      <c r="B128" s="70" t="s">
        <v>13</v>
      </c>
      <c r="C128" s="69" t="s">
        <v>13</v>
      </c>
      <c r="D128" s="61" t="s">
        <v>13</v>
      </c>
      <c r="E128" s="61" t="s">
        <v>13</v>
      </c>
      <c r="F128" s="61" t="s">
        <v>13</v>
      </c>
      <c r="G128" s="61" t="s">
        <v>13</v>
      </c>
      <c r="H128" s="61" t="s">
        <v>13</v>
      </c>
      <c r="I128" s="61" t="s">
        <v>13</v>
      </c>
      <c r="J128" s="61" t="s">
        <v>13</v>
      </c>
    </row>
    <row r="129" spans="1:10" x14ac:dyDescent="0.2">
      <c r="A129" s="69" t="s">
        <v>13</v>
      </c>
      <c r="B129" s="70" t="s">
        <v>13</v>
      </c>
      <c r="C129" s="69" t="s">
        <v>13</v>
      </c>
      <c r="D129" s="61" t="s">
        <v>13</v>
      </c>
      <c r="E129" s="61" t="s">
        <v>13</v>
      </c>
      <c r="F129" s="61" t="s">
        <v>13</v>
      </c>
      <c r="G129" s="61" t="s">
        <v>13</v>
      </c>
      <c r="H129" s="61" t="s">
        <v>13</v>
      </c>
      <c r="I129" s="61" t="s">
        <v>13</v>
      </c>
      <c r="J129" s="61" t="s">
        <v>13</v>
      </c>
    </row>
    <row r="130" spans="1:10" x14ac:dyDescent="0.2">
      <c r="A130" s="69" t="s">
        <v>12</v>
      </c>
      <c r="B130" s="70" t="s">
        <v>389</v>
      </c>
      <c r="C130" s="69">
        <v>7.7430000000000003</v>
      </c>
      <c r="D130" s="61">
        <v>21756.143</v>
      </c>
      <c r="E130" s="61">
        <v>10.7</v>
      </c>
      <c r="F130" s="61">
        <v>14912.306</v>
      </c>
      <c r="G130" s="61">
        <v>21845.343000000001</v>
      </c>
      <c r="H130" s="61">
        <v>805</v>
      </c>
      <c r="I130" s="61" t="s">
        <v>13</v>
      </c>
      <c r="J130" s="61">
        <v>853.07600000000002</v>
      </c>
    </row>
    <row r="131" spans="1:10" x14ac:dyDescent="0.2">
      <c r="A131" s="71" t="s">
        <v>101</v>
      </c>
      <c r="B131" s="70" t="s">
        <v>389</v>
      </c>
      <c r="C131" s="72">
        <v>0.69599999999999995</v>
      </c>
      <c r="D131" s="61">
        <v>177.256</v>
      </c>
      <c r="E131" s="61">
        <v>15</v>
      </c>
      <c r="F131" s="61">
        <v>352.74400000000003</v>
      </c>
      <c r="G131" s="61">
        <v>177.256</v>
      </c>
      <c r="H131" s="61">
        <v>779.2</v>
      </c>
      <c r="I131" s="61" t="s">
        <v>309</v>
      </c>
      <c r="J131" s="61">
        <v>0</v>
      </c>
    </row>
    <row r="132" spans="1:10" x14ac:dyDescent="0.2">
      <c r="A132" s="71" t="s">
        <v>103</v>
      </c>
      <c r="B132" s="70" t="s">
        <v>389</v>
      </c>
      <c r="C132" s="72">
        <v>0.69599999999999995</v>
      </c>
      <c r="D132" s="61">
        <v>177.23699999999999</v>
      </c>
      <c r="E132" s="61">
        <v>15</v>
      </c>
      <c r="F132" s="61">
        <v>352.74400000000003</v>
      </c>
      <c r="G132" s="61">
        <v>177.23699999999999</v>
      </c>
      <c r="H132" s="61">
        <v>779.2</v>
      </c>
      <c r="I132" s="61" t="s">
        <v>309</v>
      </c>
      <c r="J132" s="61">
        <v>0</v>
      </c>
    </row>
    <row r="133" spans="1:10" x14ac:dyDescent="0.2">
      <c r="A133" s="71" t="s">
        <v>13</v>
      </c>
      <c r="B133" s="70" t="s">
        <v>13</v>
      </c>
      <c r="C133" s="72" t="s">
        <v>13</v>
      </c>
      <c r="D133" s="61" t="s">
        <v>13</v>
      </c>
      <c r="E133" s="61" t="s">
        <v>13</v>
      </c>
      <c r="F133" s="61" t="s">
        <v>13</v>
      </c>
      <c r="G133" s="61" t="s">
        <v>13</v>
      </c>
      <c r="H133" s="61" t="s">
        <v>13</v>
      </c>
      <c r="I133" s="61" t="s">
        <v>13</v>
      </c>
      <c r="J133" s="61" t="s">
        <v>13</v>
      </c>
    </row>
    <row r="134" spans="1:10" x14ac:dyDescent="0.2">
      <c r="A134" s="71" t="s">
        <v>13</v>
      </c>
      <c r="B134" s="70" t="s">
        <v>13</v>
      </c>
      <c r="C134" s="72" t="s">
        <v>13</v>
      </c>
      <c r="D134" s="61" t="s">
        <v>13</v>
      </c>
      <c r="E134" s="61" t="s">
        <v>13</v>
      </c>
      <c r="F134" s="61" t="s">
        <v>13</v>
      </c>
      <c r="G134" s="61" t="s">
        <v>13</v>
      </c>
      <c r="H134" s="61" t="s">
        <v>13</v>
      </c>
      <c r="I134" s="61" t="s">
        <v>13</v>
      </c>
      <c r="J134" s="61" t="s">
        <v>13</v>
      </c>
    </row>
    <row r="135" spans="1:10" x14ac:dyDescent="0.2">
      <c r="A135" s="71" t="s">
        <v>13</v>
      </c>
      <c r="B135" s="70" t="s">
        <v>13</v>
      </c>
      <c r="C135" s="72" t="s">
        <v>13</v>
      </c>
      <c r="D135" s="61" t="s">
        <v>13</v>
      </c>
      <c r="E135" s="61" t="s">
        <v>13</v>
      </c>
      <c r="F135" s="61" t="s">
        <v>13</v>
      </c>
      <c r="G135" s="61" t="s">
        <v>13</v>
      </c>
      <c r="H135" s="61" t="s">
        <v>13</v>
      </c>
      <c r="I135" s="61" t="s">
        <v>13</v>
      </c>
      <c r="J135" s="61" t="s">
        <v>13</v>
      </c>
    </row>
    <row r="136" spans="1:10" x14ac:dyDescent="0.2">
      <c r="A136" s="71" t="s">
        <v>13</v>
      </c>
      <c r="B136" s="70" t="s">
        <v>13</v>
      </c>
      <c r="C136" s="72" t="s">
        <v>13</v>
      </c>
      <c r="D136" s="61" t="s">
        <v>13</v>
      </c>
      <c r="E136" s="61" t="s">
        <v>13</v>
      </c>
      <c r="F136" s="61" t="s">
        <v>13</v>
      </c>
      <c r="G136" s="61" t="s">
        <v>13</v>
      </c>
      <c r="H136" s="61" t="s">
        <v>13</v>
      </c>
      <c r="I136" s="61" t="s">
        <v>13</v>
      </c>
      <c r="J136" s="61" t="s">
        <v>13</v>
      </c>
    </row>
    <row r="137" spans="1:10" x14ac:dyDescent="0.2">
      <c r="A137" s="71" t="s">
        <v>13</v>
      </c>
      <c r="B137" s="70" t="s">
        <v>13</v>
      </c>
      <c r="C137" s="72" t="s">
        <v>13</v>
      </c>
      <c r="D137" s="61" t="s">
        <v>13</v>
      </c>
      <c r="E137" s="61" t="s">
        <v>13</v>
      </c>
      <c r="F137" s="61" t="s">
        <v>13</v>
      </c>
      <c r="G137" s="61" t="s">
        <v>13</v>
      </c>
      <c r="H137" s="61" t="s">
        <v>13</v>
      </c>
      <c r="I137" s="61" t="s">
        <v>13</v>
      </c>
      <c r="J137" s="61" t="s">
        <v>13</v>
      </c>
    </row>
    <row r="138" spans="1:10" x14ac:dyDescent="0.2">
      <c r="A138" s="71" t="s">
        <v>13</v>
      </c>
      <c r="B138" s="70" t="s">
        <v>13</v>
      </c>
      <c r="C138" s="72" t="s">
        <v>13</v>
      </c>
      <c r="D138" s="61" t="s">
        <v>13</v>
      </c>
      <c r="E138" s="61" t="s">
        <v>13</v>
      </c>
      <c r="F138" s="61" t="s">
        <v>13</v>
      </c>
      <c r="G138" s="61" t="s">
        <v>13</v>
      </c>
      <c r="H138" s="61" t="s">
        <v>13</v>
      </c>
      <c r="I138" s="61" t="s">
        <v>13</v>
      </c>
      <c r="J138" s="61" t="s">
        <v>13</v>
      </c>
    </row>
    <row r="139" spans="1:10" x14ac:dyDescent="0.2">
      <c r="A139" s="71" t="s">
        <v>13</v>
      </c>
      <c r="B139" s="70" t="s">
        <v>13</v>
      </c>
      <c r="C139" s="72" t="s">
        <v>13</v>
      </c>
      <c r="D139" s="61" t="s">
        <v>13</v>
      </c>
      <c r="E139" s="61" t="s">
        <v>13</v>
      </c>
      <c r="F139" s="61" t="s">
        <v>13</v>
      </c>
      <c r="G139" s="61" t="s">
        <v>13</v>
      </c>
      <c r="H139" s="61" t="s">
        <v>13</v>
      </c>
      <c r="I139" s="61" t="s">
        <v>13</v>
      </c>
      <c r="J139" s="61" t="s">
        <v>13</v>
      </c>
    </row>
    <row r="140" spans="1:10" x14ac:dyDescent="0.2">
      <c r="A140" s="71" t="s">
        <v>13</v>
      </c>
      <c r="B140" s="70" t="s">
        <v>13</v>
      </c>
      <c r="C140" s="72" t="s">
        <v>13</v>
      </c>
      <c r="D140" s="61" t="s">
        <v>13</v>
      </c>
      <c r="E140" s="61" t="s">
        <v>13</v>
      </c>
      <c r="F140" s="61" t="s">
        <v>13</v>
      </c>
      <c r="G140" s="61" t="s">
        <v>13</v>
      </c>
      <c r="H140" s="61" t="s">
        <v>13</v>
      </c>
      <c r="I140" s="61" t="s">
        <v>13</v>
      </c>
      <c r="J140" s="61" t="s">
        <v>13</v>
      </c>
    </row>
    <row r="141" spans="1:10" x14ac:dyDescent="0.2">
      <c r="A141" s="71" t="s">
        <v>13</v>
      </c>
      <c r="B141" s="70" t="s">
        <v>13</v>
      </c>
      <c r="C141" s="72" t="s">
        <v>13</v>
      </c>
      <c r="D141" s="61" t="s">
        <v>13</v>
      </c>
      <c r="E141" s="61" t="s">
        <v>13</v>
      </c>
      <c r="F141" s="61" t="s">
        <v>13</v>
      </c>
      <c r="G141" s="61" t="s">
        <v>13</v>
      </c>
      <c r="H141" s="61" t="s">
        <v>13</v>
      </c>
      <c r="I141" s="61" t="s">
        <v>13</v>
      </c>
      <c r="J141" s="61" t="s">
        <v>13</v>
      </c>
    </row>
    <row r="142" spans="1:10" x14ac:dyDescent="0.2">
      <c r="A142" s="71" t="s">
        <v>13</v>
      </c>
      <c r="B142" s="70" t="s">
        <v>13</v>
      </c>
      <c r="C142" s="72" t="s">
        <v>13</v>
      </c>
      <c r="D142" s="61" t="s">
        <v>13</v>
      </c>
      <c r="E142" s="61" t="s">
        <v>13</v>
      </c>
      <c r="F142" s="61" t="s">
        <v>13</v>
      </c>
      <c r="G142" s="61" t="s">
        <v>13</v>
      </c>
      <c r="H142" s="61" t="s">
        <v>13</v>
      </c>
      <c r="I142" s="61" t="s">
        <v>13</v>
      </c>
      <c r="J142" s="61" t="s">
        <v>13</v>
      </c>
    </row>
    <row r="143" spans="1:10" x14ac:dyDescent="0.2">
      <c r="A143" s="71" t="s">
        <v>13</v>
      </c>
      <c r="B143" s="70" t="s">
        <v>13</v>
      </c>
      <c r="C143" s="72" t="s">
        <v>13</v>
      </c>
      <c r="D143" s="61" t="s">
        <v>13</v>
      </c>
      <c r="E143" s="61" t="s">
        <v>13</v>
      </c>
      <c r="F143" s="61" t="s">
        <v>13</v>
      </c>
      <c r="G143" s="61" t="s">
        <v>13</v>
      </c>
      <c r="H143" s="61" t="s">
        <v>13</v>
      </c>
      <c r="I143" s="61" t="s">
        <v>13</v>
      </c>
      <c r="J143" s="61" t="s">
        <v>13</v>
      </c>
    </row>
    <row r="144" spans="1:10" x14ac:dyDescent="0.2">
      <c r="A144" s="71" t="s">
        <v>13</v>
      </c>
      <c r="B144" s="70" t="s">
        <v>13</v>
      </c>
      <c r="C144" s="72" t="s">
        <v>13</v>
      </c>
      <c r="D144" s="61" t="s">
        <v>13</v>
      </c>
      <c r="E144" s="61" t="s">
        <v>13</v>
      </c>
      <c r="F144" s="61" t="s">
        <v>13</v>
      </c>
      <c r="G144" s="61" t="s">
        <v>13</v>
      </c>
      <c r="H144" s="61" t="s">
        <v>13</v>
      </c>
      <c r="I144" s="61" t="s">
        <v>13</v>
      </c>
      <c r="J144" s="61" t="s">
        <v>13</v>
      </c>
    </row>
    <row r="145" spans="1:10" x14ac:dyDescent="0.2">
      <c r="A145" s="71" t="s">
        <v>13</v>
      </c>
      <c r="B145" s="70" t="s">
        <v>13</v>
      </c>
      <c r="C145" s="72" t="s">
        <v>13</v>
      </c>
      <c r="D145" s="61" t="s">
        <v>13</v>
      </c>
      <c r="E145" s="61" t="s">
        <v>13</v>
      </c>
      <c r="F145" s="61" t="s">
        <v>13</v>
      </c>
      <c r="G145" s="61" t="s">
        <v>13</v>
      </c>
      <c r="H145" s="61" t="s">
        <v>13</v>
      </c>
      <c r="I145" s="61" t="s">
        <v>13</v>
      </c>
      <c r="J145" s="61" t="s">
        <v>13</v>
      </c>
    </row>
    <row r="146" spans="1:10" x14ac:dyDescent="0.2">
      <c r="A146" s="71" t="s">
        <v>13</v>
      </c>
      <c r="B146" s="70" t="s">
        <v>13</v>
      </c>
      <c r="C146" s="72" t="s">
        <v>13</v>
      </c>
      <c r="D146" s="61" t="s">
        <v>13</v>
      </c>
      <c r="E146" s="61" t="s">
        <v>13</v>
      </c>
      <c r="F146" s="61" t="s">
        <v>13</v>
      </c>
      <c r="G146" s="61" t="s">
        <v>13</v>
      </c>
      <c r="H146" s="61" t="s">
        <v>13</v>
      </c>
      <c r="I146" s="61" t="s">
        <v>13</v>
      </c>
      <c r="J146" s="61" t="s">
        <v>13</v>
      </c>
    </row>
    <row r="147" spans="1:10" x14ac:dyDescent="0.2">
      <c r="A147" s="71" t="s">
        <v>13</v>
      </c>
      <c r="B147" s="70" t="s">
        <v>13</v>
      </c>
      <c r="C147" s="72" t="s">
        <v>13</v>
      </c>
      <c r="D147" s="61" t="s">
        <v>13</v>
      </c>
      <c r="E147" s="61" t="s">
        <v>13</v>
      </c>
      <c r="F147" s="61" t="s">
        <v>13</v>
      </c>
      <c r="G147" s="61" t="s">
        <v>13</v>
      </c>
      <c r="H147" s="61" t="s">
        <v>13</v>
      </c>
      <c r="I147" s="61" t="s">
        <v>13</v>
      </c>
      <c r="J147" s="61" t="s">
        <v>13</v>
      </c>
    </row>
    <row r="148" spans="1:10" x14ac:dyDescent="0.2">
      <c r="A148" s="71" t="s">
        <v>13</v>
      </c>
      <c r="B148" s="70" t="s">
        <v>13</v>
      </c>
      <c r="C148" s="72" t="s">
        <v>13</v>
      </c>
      <c r="D148" s="61" t="s">
        <v>13</v>
      </c>
      <c r="E148" s="61" t="s">
        <v>13</v>
      </c>
      <c r="F148" s="61" t="s">
        <v>13</v>
      </c>
      <c r="G148" s="61" t="s">
        <v>13</v>
      </c>
      <c r="H148" s="61" t="s">
        <v>13</v>
      </c>
      <c r="I148" s="61" t="s">
        <v>13</v>
      </c>
      <c r="J148" s="61" t="s">
        <v>13</v>
      </c>
    </row>
    <row r="149" spans="1:10" x14ac:dyDescent="0.2">
      <c r="A149" s="71" t="s">
        <v>13</v>
      </c>
      <c r="B149" s="70" t="s">
        <v>13</v>
      </c>
      <c r="C149" s="72" t="s">
        <v>13</v>
      </c>
      <c r="D149" s="61" t="s">
        <v>13</v>
      </c>
      <c r="E149" s="61" t="s">
        <v>13</v>
      </c>
      <c r="F149" s="61" t="s">
        <v>13</v>
      </c>
      <c r="G149" s="61" t="s">
        <v>13</v>
      </c>
      <c r="H149" s="61" t="s">
        <v>13</v>
      </c>
      <c r="I149" s="61" t="s">
        <v>13</v>
      </c>
      <c r="J149" s="61" t="s">
        <v>13</v>
      </c>
    </row>
    <row r="150" spans="1:10" x14ac:dyDescent="0.2">
      <c r="A150" s="71" t="s">
        <v>13</v>
      </c>
      <c r="B150" s="70" t="s">
        <v>13</v>
      </c>
      <c r="C150" s="72" t="s">
        <v>13</v>
      </c>
      <c r="D150" s="61" t="s">
        <v>13</v>
      </c>
      <c r="E150" s="61" t="s">
        <v>13</v>
      </c>
      <c r="F150" s="61" t="s">
        <v>13</v>
      </c>
      <c r="G150" s="61" t="s">
        <v>13</v>
      </c>
      <c r="H150" s="61" t="s">
        <v>13</v>
      </c>
      <c r="I150" s="61" t="s">
        <v>13</v>
      </c>
      <c r="J150" s="61" t="s">
        <v>13</v>
      </c>
    </row>
    <row r="151" spans="1:10" x14ac:dyDescent="0.2">
      <c r="A151" s="71" t="s">
        <v>13</v>
      </c>
      <c r="B151" s="70" t="s">
        <v>13</v>
      </c>
      <c r="C151" s="72" t="s">
        <v>13</v>
      </c>
      <c r="D151" s="61" t="s">
        <v>13</v>
      </c>
      <c r="E151" s="61" t="s">
        <v>13</v>
      </c>
      <c r="F151" s="61" t="s">
        <v>13</v>
      </c>
      <c r="G151" s="61" t="s">
        <v>13</v>
      </c>
      <c r="H151" s="61" t="s">
        <v>13</v>
      </c>
      <c r="I151" s="61" t="s">
        <v>13</v>
      </c>
      <c r="J151" s="61" t="s">
        <v>13</v>
      </c>
    </row>
    <row r="152" spans="1:10" x14ac:dyDescent="0.2">
      <c r="A152" s="71" t="s">
        <v>13</v>
      </c>
      <c r="B152" s="70" t="s">
        <v>13</v>
      </c>
      <c r="C152" s="72" t="s">
        <v>13</v>
      </c>
      <c r="D152" s="61" t="s">
        <v>13</v>
      </c>
      <c r="E152" s="61" t="s">
        <v>13</v>
      </c>
      <c r="F152" s="61" t="s">
        <v>13</v>
      </c>
      <c r="G152" s="61" t="s">
        <v>13</v>
      </c>
      <c r="H152" s="61" t="s">
        <v>13</v>
      </c>
      <c r="I152" s="61" t="s">
        <v>13</v>
      </c>
      <c r="J152" s="61" t="s">
        <v>13</v>
      </c>
    </row>
    <row r="153" spans="1:10" x14ac:dyDescent="0.2">
      <c r="A153" s="71" t="s">
        <v>13</v>
      </c>
      <c r="B153" s="70" t="s">
        <v>13</v>
      </c>
      <c r="C153" s="72" t="s">
        <v>13</v>
      </c>
      <c r="D153" s="61" t="s">
        <v>13</v>
      </c>
      <c r="E153" s="61" t="s">
        <v>13</v>
      </c>
      <c r="F153" s="61" t="s">
        <v>13</v>
      </c>
      <c r="G153" s="61" t="s">
        <v>13</v>
      </c>
      <c r="H153" s="61" t="s">
        <v>13</v>
      </c>
      <c r="I153" s="61" t="s">
        <v>13</v>
      </c>
      <c r="J153" s="61" t="s">
        <v>13</v>
      </c>
    </row>
    <row r="154" spans="1:10" x14ac:dyDescent="0.2">
      <c r="A154" s="71" t="s">
        <v>13</v>
      </c>
      <c r="B154" s="70" t="s">
        <v>13</v>
      </c>
      <c r="C154" s="72" t="s">
        <v>13</v>
      </c>
      <c r="D154" s="61" t="s">
        <v>13</v>
      </c>
      <c r="E154" s="61" t="s">
        <v>13</v>
      </c>
      <c r="F154" s="61" t="s">
        <v>13</v>
      </c>
      <c r="G154" s="61" t="s">
        <v>13</v>
      </c>
      <c r="H154" s="61" t="s">
        <v>13</v>
      </c>
      <c r="I154" s="61" t="s">
        <v>13</v>
      </c>
      <c r="J154" s="61" t="s">
        <v>13</v>
      </c>
    </row>
    <row r="155" spans="1:10" x14ac:dyDescent="0.2">
      <c r="A155" s="71" t="s">
        <v>13</v>
      </c>
      <c r="B155" s="70" t="s">
        <v>13</v>
      </c>
      <c r="C155" s="72" t="s">
        <v>13</v>
      </c>
      <c r="D155" s="61" t="s">
        <v>13</v>
      </c>
      <c r="E155" s="61" t="s">
        <v>13</v>
      </c>
      <c r="F155" s="61" t="s">
        <v>13</v>
      </c>
      <c r="G155" s="61" t="s">
        <v>13</v>
      </c>
      <c r="H155" s="61" t="s">
        <v>13</v>
      </c>
      <c r="I155" s="61" t="s">
        <v>13</v>
      </c>
      <c r="J155" s="61" t="s">
        <v>13</v>
      </c>
    </row>
    <row r="156" spans="1:10" x14ac:dyDescent="0.2">
      <c r="A156" s="71" t="s">
        <v>13</v>
      </c>
      <c r="B156" s="70" t="s">
        <v>13</v>
      </c>
      <c r="C156" s="72" t="s">
        <v>13</v>
      </c>
      <c r="D156" s="61" t="s">
        <v>13</v>
      </c>
      <c r="E156" s="61" t="s">
        <v>13</v>
      </c>
      <c r="F156" s="61" t="s">
        <v>13</v>
      </c>
      <c r="G156" s="61" t="s">
        <v>13</v>
      </c>
      <c r="H156" s="61" t="s">
        <v>13</v>
      </c>
      <c r="I156" s="61" t="s">
        <v>13</v>
      </c>
      <c r="J156" s="61" t="s">
        <v>13</v>
      </c>
    </row>
    <row r="157" spans="1:10" x14ac:dyDescent="0.2">
      <c r="A157" s="71" t="s">
        <v>13</v>
      </c>
      <c r="B157" s="70" t="s">
        <v>13</v>
      </c>
      <c r="C157" s="72" t="s">
        <v>13</v>
      </c>
      <c r="D157" s="61" t="s">
        <v>13</v>
      </c>
      <c r="E157" s="61" t="s">
        <v>13</v>
      </c>
      <c r="F157" s="61" t="s">
        <v>13</v>
      </c>
      <c r="G157" s="61" t="s">
        <v>13</v>
      </c>
      <c r="H157" s="61" t="s">
        <v>13</v>
      </c>
      <c r="I157" s="61" t="s">
        <v>13</v>
      </c>
      <c r="J157" s="61" t="s">
        <v>13</v>
      </c>
    </row>
    <row r="158" spans="1:10" x14ac:dyDescent="0.2">
      <c r="A158" s="71" t="s">
        <v>13</v>
      </c>
      <c r="B158" s="70" t="s">
        <v>13</v>
      </c>
      <c r="C158" s="72" t="s">
        <v>13</v>
      </c>
      <c r="D158" s="61" t="s">
        <v>13</v>
      </c>
      <c r="E158" s="61" t="s">
        <v>13</v>
      </c>
      <c r="F158" s="61" t="s">
        <v>13</v>
      </c>
      <c r="G158" s="61" t="s">
        <v>13</v>
      </c>
      <c r="H158" s="61" t="s">
        <v>13</v>
      </c>
      <c r="I158" s="61" t="s">
        <v>13</v>
      </c>
      <c r="J158" s="61" t="s">
        <v>13</v>
      </c>
    </row>
    <row r="159" spans="1:10" x14ac:dyDescent="0.2">
      <c r="A159" s="71" t="s">
        <v>13</v>
      </c>
      <c r="B159" s="70" t="s">
        <v>13</v>
      </c>
      <c r="C159" s="72" t="s">
        <v>13</v>
      </c>
      <c r="D159" s="61" t="s">
        <v>13</v>
      </c>
      <c r="E159" s="61" t="s">
        <v>13</v>
      </c>
      <c r="F159" s="61" t="s">
        <v>13</v>
      </c>
      <c r="G159" s="61" t="s">
        <v>13</v>
      </c>
      <c r="H159" s="61" t="s">
        <v>13</v>
      </c>
      <c r="I159" s="61" t="s">
        <v>13</v>
      </c>
      <c r="J159" s="61" t="s">
        <v>13</v>
      </c>
    </row>
    <row r="160" spans="1:10" x14ac:dyDescent="0.2">
      <c r="A160" s="71" t="s">
        <v>13</v>
      </c>
      <c r="B160" s="70" t="s">
        <v>13</v>
      </c>
      <c r="C160" s="72" t="s">
        <v>13</v>
      </c>
      <c r="D160" s="61" t="s">
        <v>13</v>
      </c>
      <c r="E160" s="61" t="s">
        <v>13</v>
      </c>
      <c r="F160" s="61" t="s">
        <v>13</v>
      </c>
      <c r="G160" s="61" t="s">
        <v>13</v>
      </c>
      <c r="H160" s="61" t="s">
        <v>13</v>
      </c>
      <c r="I160" s="61" t="s">
        <v>13</v>
      </c>
      <c r="J160" s="61" t="s">
        <v>13</v>
      </c>
    </row>
    <row r="161" spans="1:10" x14ac:dyDescent="0.2">
      <c r="A161" s="71" t="s">
        <v>13</v>
      </c>
      <c r="B161" s="70" t="s">
        <v>13</v>
      </c>
      <c r="C161" s="72" t="s">
        <v>13</v>
      </c>
      <c r="D161" s="61" t="s">
        <v>13</v>
      </c>
      <c r="E161" s="61" t="s">
        <v>13</v>
      </c>
      <c r="F161" s="61" t="s">
        <v>13</v>
      </c>
      <c r="G161" s="61" t="s">
        <v>13</v>
      </c>
      <c r="H161" s="61" t="s">
        <v>13</v>
      </c>
      <c r="I161" s="61" t="s">
        <v>13</v>
      </c>
      <c r="J161" s="61" t="s">
        <v>13</v>
      </c>
    </row>
    <row r="162" spans="1:10" x14ac:dyDescent="0.2">
      <c r="A162" s="71" t="s">
        <v>13</v>
      </c>
      <c r="B162" s="70" t="s">
        <v>13</v>
      </c>
      <c r="C162" s="72" t="s">
        <v>13</v>
      </c>
      <c r="D162" s="61" t="s">
        <v>13</v>
      </c>
      <c r="E162" s="61" t="s">
        <v>13</v>
      </c>
      <c r="F162" s="61" t="s">
        <v>13</v>
      </c>
      <c r="G162" s="61" t="s">
        <v>13</v>
      </c>
      <c r="H162" s="61" t="s">
        <v>13</v>
      </c>
      <c r="I162" s="61" t="s">
        <v>13</v>
      </c>
      <c r="J162" s="61" t="s">
        <v>13</v>
      </c>
    </row>
    <row r="163" spans="1:10" x14ac:dyDescent="0.2">
      <c r="A163" s="71" t="s">
        <v>13</v>
      </c>
      <c r="B163" s="70" t="s">
        <v>13</v>
      </c>
      <c r="C163" s="72" t="s">
        <v>13</v>
      </c>
      <c r="D163" s="61" t="s">
        <v>13</v>
      </c>
      <c r="E163" s="61" t="s">
        <v>13</v>
      </c>
      <c r="F163" s="61" t="s">
        <v>13</v>
      </c>
      <c r="G163" s="61" t="s">
        <v>13</v>
      </c>
      <c r="H163" s="61" t="s">
        <v>13</v>
      </c>
      <c r="I163" s="61" t="s">
        <v>13</v>
      </c>
      <c r="J163" s="61" t="s">
        <v>13</v>
      </c>
    </row>
    <row r="164" spans="1:10" x14ac:dyDescent="0.2">
      <c r="A164" s="71" t="s">
        <v>13</v>
      </c>
      <c r="B164" s="70" t="s">
        <v>13</v>
      </c>
      <c r="C164" s="72" t="s">
        <v>13</v>
      </c>
      <c r="D164" s="61" t="s">
        <v>13</v>
      </c>
      <c r="E164" s="61" t="s">
        <v>13</v>
      </c>
      <c r="F164" s="61" t="s">
        <v>13</v>
      </c>
      <c r="G164" s="61" t="s">
        <v>13</v>
      </c>
      <c r="H164" s="61" t="s">
        <v>13</v>
      </c>
      <c r="I164" s="61" t="s">
        <v>13</v>
      </c>
      <c r="J164" s="61" t="s">
        <v>13</v>
      </c>
    </row>
    <row r="165" spans="1:10" x14ac:dyDescent="0.2">
      <c r="A165" s="71" t="s">
        <v>13</v>
      </c>
      <c r="B165" s="70" t="s">
        <v>13</v>
      </c>
      <c r="C165" s="72" t="s">
        <v>13</v>
      </c>
      <c r="D165" s="61" t="s">
        <v>13</v>
      </c>
      <c r="E165" s="61" t="s">
        <v>13</v>
      </c>
      <c r="F165" s="61" t="s">
        <v>13</v>
      </c>
      <c r="G165" s="61" t="s">
        <v>13</v>
      </c>
      <c r="H165" s="61" t="s">
        <v>13</v>
      </c>
      <c r="I165" s="61" t="s">
        <v>13</v>
      </c>
      <c r="J165" s="61" t="s">
        <v>13</v>
      </c>
    </row>
    <row r="166" spans="1:10" x14ac:dyDescent="0.2">
      <c r="A166" s="71" t="s">
        <v>13</v>
      </c>
      <c r="B166" s="70" t="s">
        <v>13</v>
      </c>
      <c r="C166" s="72" t="s">
        <v>13</v>
      </c>
      <c r="D166" s="61" t="s">
        <v>13</v>
      </c>
      <c r="E166" s="61" t="s">
        <v>13</v>
      </c>
      <c r="F166" s="61" t="s">
        <v>13</v>
      </c>
      <c r="G166" s="61" t="s">
        <v>13</v>
      </c>
      <c r="H166" s="61" t="s">
        <v>13</v>
      </c>
      <c r="I166" s="61" t="s">
        <v>13</v>
      </c>
      <c r="J166" s="61" t="s">
        <v>13</v>
      </c>
    </row>
    <row r="167" spans="1:10" x14ac:dyDescent="0.2">
      <c r="A167" s="71" t="s">
        <v>13</v>
      </c>
      <c r="B167" s="70" t="s">
        <v>13</v>
      </c>
      <c r="C167" s="72" t="s">
        <v>13</v>
      </c>
      <c r="D167" s="61" t="s">
        <v>13</v>
      </c>
      <c r="E167" s="61" t="s">
        <v>13</v>
      </c>
      <c r="F167" s="61" t="s">
        <v>13</v>
      </c>
      <c r="G167" s="61" t="s">
        <v>13</v>
      </c>
      <c r="H167" s="61" t="s">
        <v>13</v>
      </c>
      <c r="I167" s="61" t="s">
        <v>13</v>
      </c>
      <c r="J167" s="61" t="s">
        <v>13</v>
      </c>
    </row>
    <row r="168" spans="1:10" x14ac:dyDescent="0.2">
      <c r="A168" s="71" t="s">
        <v>13</v>
      </c>
      <c r="B168" s="70" t="s">
        <v>13</v>
      </c>
      <c r="C168" s="72" t="s">
        <v>13</v>
      </c>
      <c r="D168" s="61" t="s">
        <v>13</v>
      </c>
      <c r="E168" s="61" t="s">
        <v>13</v>
      </c>
      <c r="F168" s="61" t="s">
        <v>13</v>
      </c>
      <c r="G168" s="61" t="s">
        <v>13</v>
      </c>
      <c r="H168" s="61" t="s">
        <v>13</v>
      </c>
      <c r="I168" s="61" t="s">
        <v>13</v>
      </c>
      <c r="J168" s="61" t="s">
        <v>13</v>
      </c>
    </row>
    <row r="169" spans="1:10" x14ac:dyDescent="0.2">
      <c r="A169" s="71" t="s">
        <v>13</v>
      </c>
      <c r="B169" s="70" t="s">
        <v>13</v>
      </c>
      <c r="C169" s="72" t="s">
        <v>13</v>
      </c>
      <c r="D169" s="61" t="s">
        <v>13</v>
      </c>
      <c r="E169" s="61" t="s">
        <v>13</v>
      </c>
      <c r="F169" s="61" t="s">
        <v>13</v>
      </c>
      <c r="G169" s="61" t="s">
        <v>13</v>
      </c>
      <c r="H169" s="61" t="s">
        <v>13</v>
      </c>
      <c r="I169" s="61" t="s">
        <v>13</v>
      </c>
      <c r="J169" s="61" t="s">
        <v>13</v>
      </c>
    </row>
    <row r="170" spans="1:10" x14ac:dyDescent="0.2">
      <c r="A170" s="71" t="s">
        <v>13</v>
      </c>
      <c r="B170" s="70" t="s">
        <v>13</v>
      </c>
      <c r="C170" s="72" t="s">
        <v>13</v>
      </c>
      <c r="D170" s="61" t="s">
        <v>13</v>
      </c>
      <c r="E170" s="61" t="s">
        <v>13</v>
      </c>
      <c r="F170" s="61" t="s">
        <v>13</v>
      </c>
      <c r="G170" s="61" t="s">
        <v>13</v>
      </c>
      <c r="H170" s="61" t="s">
        <v>13</v>
      </c>
      <c r="I170" s="61" t="s">
        <v>13</v>
      </c>
      <c r="J170" s="61" t="s">
        <v>13</v>
      </c>
    </row>
    <row r="171" spans="1:10" x14ac:dyDescent="0.2">
      <c r="A171" s="71" t="s">
        <v>13</v>
      </c>
      <c r="B171" s="70" t="s">
        <v>13</v>
      </c>
      <c r="C171" s="72" t="s">
        <v>13</v>
      </c>
      <c r="D171" s="61" t="s">
        <v>13</v>
      </c>
      <c r="E171" s="61" t="s">
        <v>13</v>
      </c>
      <c r="F171" s="61" t="s">
        <v>13</v>
      </c>
      <c r="G171" s="61" t="s">
        <v>13</v>
      </c>
      <c r="H171" s="61" t="s">
        <v>13</v>
      </c>
      <c r="I171" s="61" t="s">
        <v>13</v>
      </c>
      <c r="J171" s="61" t="s">
        <v>13</v>
      </c>
    </row>
    <row r="172" spans="1:10" x14ac:dyDescent="0.2">
      <c r="A172" s="71" t="s">
        <v>13</v>
      </c>
      <c r="B172" s="70" t="s">
        <v>13</v>
      </c>
      <c r="C172" s="72" t="s">
        <v>13</v>
      </c>
      <c r="D172" s="61" t="s">
        <v>13</v>
      </c>
      <c r="E172" s="61" t="s">
        <v>13</v>
      </c>
      <c r="F172" s="61" t="s">
        <v>13</v>
      </c>
      <c r="G172" s="61" t="s">
        <v>13</v>
      </c>
      <c r="H172" s="61" t="s">
        <v>13</v>
      </c>
      <c r="I172" s="61" t="s">
        <v>13</v>
      </c>
      <c r="J172" s="61" t="s">
        <v>13</v>
      </c>
    </row>
    <row r="173" spans="1:10" x14ac:dyDescent="0.2">
      <c r="A173" s="71" t="s">
        <v>13</v>
      </c>
      <c r="B173" s="70" t="s">
        <v>13</v>
      </c>
      <c r="C173" s="72" t="s">
        <v>13</v>
      </c>
      <c r="D173" s="61" t="s">
        <v>13</v>
      </c>
      <c r="E173" s="61" t="s">
        <v>13</v>
      </c>
      <c r="F173" s="61" t="s">
        <v>13</v>
      </c>
      <c r="G173" s="61" t="s">
        <v>13</v>
      </c>
      <c r="H173" s="61" t="s">
        <v>13</v>
      </c>
      <c r="I173" s="61" t="s">
        <v>13</v>
      </c>
      <c r="J173" s="61" t="s">
        <v>13</v>
      </c>
    </row>
    <row r="174" spans="1:10" x14ac:dyDescent="0.2">
      <c r="A174" s="71" t="s">
        <v>13</v>
      </c>
      <c r="B174" s="70" t="s">
        <v>13</v>
      </c>
      <c r="C174" s="72" t="s">
        <v>13</v>
      </c>
      <c r="D174" s="61" t="s">
        <v>13</v>
      </c>
      <c r="E174" s="61" t="s">
        <v>13</v>
      </c>
      <c r="F174" s="61" t="s">
        <v>13</v>
      </c>
      <c r="G174" s="61" t="s">
        <v>13</v>
      </c>
      <c r="H174" s="61" t="s">
        <v>13</v>
      </c>
      <c r="I174" s="61" t="s">
        <v>13</v>
      </c>
      <c r="J174" s="61" t="s">
        <v>13</v>
      </c>
    </row>
    <row r="175" spans="1:10" x14ac:dyDescent="0.2">
      <c r="A175" s="71" t="s">
        <v>13</v>
      </c>
      <c r="B175" s="70" t="s">
        <v>13</v>
      </c>
      <c r="C175" s="72" t="s">
        <v>13</v>
      </c>
      <c r="D175" s="61" t="s">
        <v>13</v>
      </c>
      <c r="E175" s="61" t="s">
        <v>13</v>
      </c>
      <c r="F175" s="61" t="s">
        <v>13</v>
      </c>
      <c r="G175" s="61" t="s">
        <v>13</v>
      </c>
      <c r="H175" s="61" t="s">
        <v>13</v>
      </c>
      <c r="I175" s="61" t="s">
        <v>13</v>
      </c>
      <c r="J175" s="61" t="s">
        <v>13</v>
      </c>
    </row>
    <row r="176" spans="1:10" x14ac:dyDescent="0.2">
      <c r="A176" s="71" t="s">
        <v>13</v>
      </c>
      <c r="B176" s="70" t="s">
        <v>13</v>
      </c>
      <c r="C176" s="72" t="s">
        <v>13</v>
      </c>
      <c r="D176" s="61" t="s">
        <v>13</v>
      </c>
      <c r="E176" s="61" t="s">
        <v>13</v>
      </c>
      <c r="F176" s="61" t="s">
        <v>13</v>
      </c>
      <c r="G176" s="61" t="s">
        <v>13</v>
      </c>
      <c r="H176" s="61" t="s">
        <v>13</v>
      </c>
      <c r="I176" s="61" t="s">
        <v>13</v>
      </c>
      <c r="J176" s="61" t="s">
        <v>13</v>
      </c>
    </row>
    <row r="177" spans="1:10" x14ac:dyDescent="0.2">
      <c r="A177" s="71" t="s">
        <v>13</v>
      </c>
      <c r="B177" s="70" t="s">
        <v>13</v>
      </c>
      <c r="C177" s="72" t="s">
        <v>13</v>
      </c>
      <c r="D177" s="61" t="s">
        <v>13</v>
      </c>
      <c r="E177" s="61" t="s">
        <v>13</v>
      </c>
      <c r="F177" s="61" t="s">
        <v>13</v>
      </c>
      <c r="G177" s="61" t="s">
        <v>13</v>
      </c>
      <c r="H177" s="61" t="s">
        <v>13</v>
      </c>
      <c r="I177" s="61" t="s">
        <v>13</v>
      </c>
      <c r="J177" s="61" t="s">
        <v>13</v>
      </c>
    </row>
    <row r="178" spans="1:10" x14ac:dyDescent="0.2">
      <c r="A178" s="71" t="s">
        <v>13</v>
      </c>
      <c r="B178" s="70" t="s">
        <v>13</v>
      </c>
      <c r="C178" s="72" t="s">
        <v>13</v>
      </c>
      <c r="D178" s="61" t="s">
        <v>13</v>
      </c>
      <c r="E178" s="61" t="s">
        <v>13</v>
      </c>
      <c r="F178" s="61" t="s">
        <v>13</v>
      </c>
      <c r="G178" s="61" t="s">
        <v>13</v>
      </c>
      <c r="H178" s="61" t="s">
        <v>13</v>
      </c>
      <c r="I178" s="61" t="s">
        <v>13</v>
      </c>
      <c r="J178" s="61" t="s">
        <v>13</v>
      </c>
    </row>
    <row r="179" spans="1:10" x14ac:dyDescent="0.2">
      <c r="A179" s="71" t="s">
        <v>13</v>
      </c>
      <c r="B179" s="70" t="s">
        <v>13</v>
      </c>
      <c r="C179" s="72" t="s">
        <v>13</v>
      </c>
      <c r="D179" s="61" t="s">
        <v>13</v>
      </c>
      <c r="E179" s="61" t="s">
        <v>13</v>
      </c>
      <c r="F179" s="61" t="s">
        <v>13</v>
      </c>
      <c r="G179" s="61" t="s">
        <v>13</v>
      </c>
      <c r="H179" s="61" t="s">
        <v>13</v>
      </c>
      <c r="I179" s="61" t="s">
        <v>13</v>
      </c>
      <c r="J179" s="61" t="s">
        <v>13</v>
      </c>
    </row>
    <row r="180" spans="1:10" x14ac:dyDescent="0.2">
      <c r="A180" s="71" t="s">
        <v>13</v>
      </c>
      <c r="B180" s="70" t="s">
        <v>13</v>
      </c>
      <c r="C180" s="72" t="s">
        <v>13</v>
      </c>
      <c r="D180" s="61" t="s">
        <v>13</v>
      </c>
      <c r="E180" s="61" t="s">
        <v>13</v>
      </c>
      <c r="F180" s="61" t="s">
        <v>13</v>
      </c>
      <c r="G180" s="61" t="s">
        <v>13</v>
      </c>
      <c r="H180" s="61" t="s">
        <v>13</v>
      </c>
      <c r="I180" s="61" t="s">
        <v>13</v>
      </c>
      <c r="J180" s="61" t="s">
        <v>13</v>
      </c>
    </row>
    <row r="181" spans="1:10" x14ac:dyDescent="0.2">
      <c r="A181" s="71" t="s">
        <v>13</v>
      </c>
      <c r="B181" s="70" t="s">
        <v>13</v>
      </c>
      <c r="C181" s="72" t="s">
        <v>13</v>
      </c>
      <c r="D181" s="61" t="s">
        <v>13</v>
      </c>
      <c r="E181" s="61" t="s">
        <v>13</v>
      </c>
      <c r="F181" s="61" t="s">
        <v>13</v>
      </c>
      <c r="G181" s="61" t="s">
        <v>13</v>
      </c>
      <c r="H181" s="61" t="s">
        <v>13</v>
      </c>
      <c r="I181" s="61" t="s">
        <v>13</v>
      </c>
      <c r="J181" s="61" t="s">
        <v>13</v>
      </c>
    </row>
    <row r="182" spans="1:10" x14ac:dyDescent="0.2">
      <c r="A182" s="71" t="s">
        <v>13</v>
      </c>
      <c r="B182" s="70" t="s">
        <v>13</v>
      </c>
      <c r="C182" s="72" t="s">
        <v>13</v>
      </c>
      <c r="D182" s="61" t="s">
        <v>13</v>
      </c>
      <c r="E182" s="61" t="s">
        <v>13</v>
      </c>
      <c r="F182" s="61" t="s">
        <v>13</v>
      </c>
      <c r="G182" s="61" t="s">
        <v>13</v>
      </c>
      <c r="H182" s="61" t="s">
        <v>13</v>
      </c>
      <c r="I182" s="61" t="s">
        <v>13</v>
      </c>
      <c r="J182" s="61" t="s">
        <v>13</v>
      </c>
    </row>
    <row r="183" spans="1:10" x14ac:dyDescent="0.2">
      <c r="A183" s="71" t="s">
        <v>13</v>
      </c>
      <c r="B183" s="70" t="s">
        <v>13</v>
      </c>
      <c r="C183" s="72" t="s">
        <v>13</v>
      </c>
      <c r="D183" s="61" t="s">
        <v>13</v>
      </c>
      <c r="E183" s="61" t="s">
        <v>13</v>
      </c>
      <c r="F183" s="61" t="s">
        <v>13</v>
      </c>
      <c r="G183" s="61" t="s">
        <v>13</v>
      </c>
      <c r="H183" s="61" t="s">
        <v>13</v>
      </c>
      <c r="I183" s="61" t="s">
        <v>13</v>
      </c>
      <c r="J183" s="61" t="s">
        <v>13</v>
      </c>
    </row>
    <row r="184" spans="1:10" x14ac:dyDescent="0.2">
      <c r="A184" s="71" t="s">
        <v>13</v>
      </c>
      <c r="B184" s="70" t="s">
        <v>13</v>
      </c>
      <c r="C184" s="72" t="s">
        <v>13</v>
      </c>
      <c r="D184" s="61" t="s">
        <v>13</v>
      </c>
      <c r="E184" s="61" t="s">
        <v>13</v>
      </c>
      <c r="F184" s="61" t="s">
        <v>13</v>
      </c>
      <c r="G184" s="61" t="s">
        <v>13</v>
      </c>
      <c r="H184" s="61" t="s">
        <v>13</v>
      </c>
      <c r="I184" s="61" t="s">
        <v>13</v>
      </c>
      <c r="J184" s="61" t="s">
        <v>13</v>
      </c>
    </row>
    <row r="185" spans="1:10" x14ac:dyDescent="0.2">
      <c r="A185" s="71" t="s">
        <v>13</v>
      </c>
      <c r="B185" s="70" t="s">
        <v>13</v>
      </c>
      <c r="C185" s="72" t="s">
        <v>13</v>
      </c>
      <c r="D185" s="61" t="s">
        <v>13</v>
      </c>
      <c r="E185" s="61" t="s">
        <v>13</v>
      </c>
      <c r="F185" s="61" t="s">
        <v>13</v>
      </c>
      <c r="G185" s="61" t="s">
        <v>13</v>
      </c>
      <c r="H185" s="61" t="s">
        <v>13</v>
      </c>
      <c r="I185" s="61" t="s">
        <v>13</v>
      </c>
      <c r="J185" s="61" t="s">
        <v>13</v>
      </c>
    </row>
    <row r="186" spans="1:10" x14ac:dyDescent="0.2">
      <c r="A186" s="71" t="s">
        <v>13</v>
      </c>
      <c r="B186" s="70" t="s">
        <v>13</v>
      </c>
      <c r="C186" s="72" t="s">
        <v>13</v>
      </c>
      <c r="D186" s="61" t="s">
        <v>13</v>
      </c>
      <c r="E186" s="61" t="s">
        <v>13</v>
      </c>
      <c r="F186" s="61" t="s">
        <v>13</v>
      </c>
      <c r="G186" s="61" t="s">
        <v>13</v>
      </c>
      <c r="H186" s="61" t="s">
        <v>13</v>
      </c>
      <c r="I186" s="61" t="s">
        <v>13</v>
      </c>
      <c r="J186" s="61" t="s">
        <v>13</v>
      </c>
    </row>
    <row r="187" spans="1:10" x14ac:dyDescent="0.2">
      <c r="A187" s="71" t="s">
        <v>13</v>
      </c>
      <c r="B187" s="70" t="s">
        <v>13</v>
      </c>
      <c r="C187" s="72" t="s">
        <v>13</v>
      </c>
      <c r="D187" s="61" t="s">
        <v>13</v>
      </c>
      <c r="E187" s="61" t="s">
        <v>13</v>
      </c>
      <c r="F187" s="61" t="s">
        <v>13</v>
      </c>
      <c r="G187" s="61" t="s">
        <v>13</v>
      </c>
      <c r="H187" s="61" t="s">
        <v>13</v>
      </c>
      <c r="I187" s="61" t="s">
        <v>13</v>
      </c>
      <c r="J187" s="61" t="s">
        <v>13</v>
      </c>
    </row>
    <row r="188" spans="1:10" x14ac:dyDescent="0.2">
      <c r="A188" s="71" t="s">
        <v>13</v>
      </c>
      <c r="B188" s="70" t="s">
        <v>13</v>
      </c>
      <c r="C188" s="72" t="s">
        <v>13</v>
      </c>
      <c r="D188" s="61" t="s">
        <v>13</v>
      </c>
      <c r="E188" s="61" t="s">
        <v>13</v>
      </c>
      <c r="F188" s="61" t="s">
        <v>13</v>
      </c>
      <c r="G188" s="61" t="s">
        <v>13</v>
      </c>
      <c r="H188" s="61" t="s">
        <v>13</v>
      </c>
      <c r="I188" s="61" t="s">
        <v>13</v>
      </c>
      <c r="J188" s="61" t="s">
        <v>13</v>
      </c>
    </row>
    <row r="189" spans="1:10" x14ac:dyDescent="0.2">
      <c r="A189" s="71" t="s">
        <v>13</v>
      </c>
      <c r="B189" s="70" t="s">
        <v>13</v>
      </c>
      <c r="C189" s="72" t="s">
        <v>13</v>
      </c>
      <c r="D189" s="61" t="s">
        <v>13</v>
      </c>
      <c r="E189" s="61" t="s">
        <v>13</v>
      </c>
      <c r="F189" s="61" t="s">
        <v>13</v>
      </c>
      <c r="G189" s="61" t="s">
        <v>13</v>
      </c>
      <c r="H189" s="61" t="s">
        <v>13</v>
      </c>
      <c r="I189" s="61" t="s">
        <v>13</v>
      </c>
      <c r="J189" s="61" t="s">
        <v>13</v>
      </c>
    </row>
    <row r="190" spans="1:10" x14ac:dyDescent="0.2">
      <c r="A190" s="71" t="s">
        <v>13</v>
      </c>
      <c r="B190" s="70" t="s">
        <v>13</v>
      </c>
      <c r="C190" s="72" t="s">
        <v>13</v>
      </c>
      <c r="D190" s="61" t="s">
        <v>13</v>
      </c>
      <c r="E190" s="61" t="s">
        <v>13</v>
      </c>
      <c r="F190" s="61" t="s">
        <v>13</v>
      </c>
      <c r="G190" s="61" t="s">
        <v>13</v>
      </c>
      <c r="H190" s="61" t="s">
        <v>13</v>
      </c>
      <c r="I190" s="61" t="s">
        <v>13</v>
      </c>
      <c r="J190" s="61" t="s">
        <v>13</v>
      </c>
    </row>
    <row r="191" spans="1:10" x14ac:dyDescent="0.2">
      <c r="A191" s="71" t="s">
        <v>13</v>
      </c>
      <c r="B191" s="70" t="s">
        <v>13</v>
      </c>
      <c r="C191" s="72" t="s">
        <v>13</v>
      </c>
      <c r="D191" s="61" t="s">
        <v>13</v>
      </c>
      <c r="E191" s="61" t="s">
        <v>13</v>
      </c>
      <c r="F191" s="61" t="s">
        <v>13</v>
      </c>
      <c r="G191" s="61" t="s">
        <v>13</v>
      </c>
      <c r="H191" s="61" t="s">
        <v>13</v>
      </c>
      <c r="I191" s="61" t="s">
        <v>13</v>
      </c>
      <c r="J191" s="61" t="s">
        <v>13</v>
      </c>
    </row>
    <row r="192" spans="1:10" x14ac:dyDescent="0.2">
      <c r="A192" s="4" t="s">
        <v>13</v>
      </c>
      <c r="B192" s="67" t="s">
        <v>13</v>
      </c>
      <c r="C192" s="68" t="s">
        <v>13</v>
      </c>
      <c r="D192" s="59" t="s">
        <v>13</v>
      </c>
      <c r="E192" s="59" t="s">
        <v>13</v>
      </c>
      <c r="F192" s="59" t="s">
        <v>13</v>
      </c>
      <c r="G192" s="59" t="s">
        <v>13</v>
      </c>
      <c r="H192" s="59" t="s">
        <v>13</v>
      </c>
      <c r="I192" s="59" t="s">
        <v>13</v>
      </c>
      <c r="J192" s="59" t="s">
        <v>13</v>
      </c>
    </row>
    <row r="193" spans="1:10" x14ac:dyDescent="0.2">
      <c r="A193" s="4" t="s">
        <v>13</v>
      </c>
      <c r="B193" s="67" t="s">
        <v>13</v>
      </c>
      <c r="C193" s="68" t="s">
        <v>13</v>
      </c>
      <c r="D193" s="59" t="s">
        <v>13</v>
      </c>
      <c r="E193" s="59" t="s">
        <v>13</v>
      </c>
      <c r="F193" s="59" t="s">
        <v>13</v>
      </c>
      <c r="G193" s="59" t="s">
        <v>13</v>
      </c>
      <c r="H193" s="59" t="s">
        <v>13</v>
      </c>
      <c r="I193" s="59" t="s">
        <v>13</v>
      </c>
      <c r="J193" s="59" t="s">
        <v>13</v>
      </c>
    </row>
    <row r="194" spans="1:10" x14ac:dyDescent="0.2">
      <c r="A194" s="4" t="s">
        <v>13</v>
      </c>
      <c r="B194" s="67" t="s">
        <v>13</v>
      </c>
      <c r="C194" s="68" t="s">
        <v>13</v>
      </c>
      <c r="D194" s="59" t="s">
        <v>13</v>
      </c>
      <c r="E194" s="59" t="s">
        <v>13</v>
      </c>
      <c r="F194" s="59" t="s">
        <v>13</v>
      </c>
      <c r="G194" s="59" t="s">
        <v>13</v>
      </c>
      <c r="H194" s="59" t="s">
        <v>13</v>
      </c>
      <c r="I194" s="59" t="s">
        <v>13</v>
      </c>
      <c r="J194" s="59" t="s">
        <v>13</v>
      </c>
    </row>
    <row r="195" spans="1:10" x14ac:dyDescent="0.2">
      <c r="A195" s="4" t="s">
        <v>13</v>
      </c>
      <c r="B195" s="67" t="s">
        <v>13</v>
      </c>
      <c r="C195" s="68" t="s">
        <v>13</v>
      </c>
      <c r="D195" s="59" t="s">
        <v>13</v>
      </c>
      <c r="E195" s="59" t="s">
        <v>13</v>
      </c>
      <c r="F195" s="59" t="s">
        <v>13</v>
      </c>
      <c r="G195" s="59" t="s">
        <v>13</v>
      </c>
      <c r="H195" s="59" t="s">
        <v>13</v>
      </c>
      <c r="I195" s="59" t="s">
        <v>13</v>
      </c>
      <c r="J195" s="59" t="s">
        <v>13</v>
      </c>
    </row>
    <row r="196" spans="1:10" x14ac:dyDescent="0.2">
      <c r="A196" s="4" t="s">
        <v>13</v>
      </c>
      <c r="B196" s="67" t="s">
        <v>13</v>
      </c>
      <c r="C196" s="68" t="s">
        <v>13</v>
      </c>
      <c r="D196" s="59" t="s">
        <v>13</v>
      </c>
      <c r="E196" s="59" t="s">
        <v>13</v>
      </c>
      <c r="F196" s="59" t="s">
        <v>13</v>
      </c>
      <c r="G196" s="59" t="s">
        <v>13</v>
      </c>
      <c r="H196" s="59" t="s">
        <v>13</v>
      </c>
      <c r="I196" s="59" t="s">
        <v>13</v>
      </c>
      <c r="J196" s="59" t="s">
        <v>13</v>
      </c>
    </row>
    <row r="197" spans="1:10" x14ac:dyDescent="0.2">
      <c r="A197" s="4" t="s">
        <v>13</v>
      </c>
      <c r="B197" s="67" t="s">
        <v>13</v>
      </c>
      <c r="C197" s="68" t="s">
        <v>13</v>
      </c>
      <c r="D197" s="59" t="s">
        <v>13</v>
      </c>
      <c r="E197" s="59" t="s">
        <v>13</v>
      </c>
      <c r="F197" s="59" t="s">
        <v>13</v>
      </c>
      <c r="G197" s="59" t="s">
        <v>13</v>
      </c>
      <c r="H197" s="59" t="s">
        <v>13</v>
      </c>
      <c r="I197" s="59" t="s">
        <v>13</v>
      </c>
      <c r="J197" s="59" t="s">
        <v>13</v>
      </c>
    </row>
    <row r="198" spans="1:10" x14ac:dyDescent="0.2">
      <c r="A198" s="4" t="s">
        <v>13</v>
      </c>
      <c r="B198" s="67" t="s">
        <v>13</v>
      </c>
      <c r="C198" s="68" t="s">
        <v>13</v>
      </c>
      <c r="D198" s="59" t="s">
        <v>13</v>
      </c>
      <c r="E198" s="59" t="s">
        <v>13</v>
      </c>
      <c r="F198" s="59" t="s">
        <v>13</v>
      </c>
      <c r="G198" s="59" t="s">
        <v>13</v>
      </c>
      <c r="H198" s="59" t="s">
        <v>13</v>
      </c>
      <c r="I198" s="59" t="s">
        <v>13</v>
      </c>
      <c r="J198" s="59" t="s">
        <v>13</v>
      </c>
    </row>
    <row r="199" spans="1:10" x14ac:dyDescent="0.2">
      <c r="A199" s="4" t="s">
        <v>13</v>
      </c>
      <c r="B199" s="67" t="s">
        <v>13</v>
      </c>
      <c r="C199" s="68" t="s">
        <v>13</v>
      </c>
      <c r="D199" s="59" t="s">
        <v>13</v>
      </c>
      <c r="E199" s="59" t="s">
        <v>13</v>
      </c>
      <c r="F199" s="59" t="s">
        <v>13</v>
      </c>
      <c r="G199" s="59" t="s">
        <v>13</v>
      </c>
      <c r="H199" s="59" t="s">
        <v>13</v>
      </c>
      <c r="I199" s="59" t="s">
        <v>13</v>
      </c>
      <c r="J199" s="59" t="s">
        <v>13</v>
      </c>
    </row>
    <row r="200" spans="1:10" x14ac:dyDescent="0.2">
      <c r="A200" s="4" t="s">
        <v>13</v>
      </c>
      <c r="B200" s="67" t="s">
        <v>13</v>
      </c>
      <c r="C200" s="68" t="s">
        <v>13</v>
      </c>
      <c r="D200" s="59" t="s">
        <v>13</v>
      </c>
      <c r="E200" s="59" t="s">
        <v>13</v>
      </c>
      <c r="F200" s="59" t="s">
        <v>13</v>
      </c>
      <c r="G200" s="59" t="s">
        <v>13</v>
      </c>
      <c r="H200" s="59" t="s">
        <v>13</v>
      </c>
      <c r="I200" s="59" t="s">
        <v>13</v>
      </c>
      <c r="J200" s="59" t="s">
        <v>13</v>
      </c>
    </row>
  </sheetData>
  <phoneticPr fontId="0" type="noConversion"/>
  <pageMargins left="0.35433070866141736" right="0.2" top="0.78740157480314965" bottom="0.98425196850393704" header="0.31496062992125984" footer="0.11811023622047245"/>
  <pageSetup paperSize="9" orientation="portrait" horizontalDpi="204" verticalDpi="196" r:id="rId1"/>
  <headerFooter alignWithMargins="0">
    <oddHeader>&amp;A</oddHeader>
    <oddFooter>Page &amp;P</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Z86"/>
  <sheetViews>
    <sheetView workbookViewId="0"/>
  </sheetViews>
  <sheetFormatPr defaultRowHeight="12.75" x14ac:dyDescent="0.2"/>
  <cols>
    <col min="2" max="2" width="12.85546875" customWidth="1"/>
    <col min="5" max="5" width="10" bestFit="1" customWidth="1"/>
    <col min="9" max="9" width="10.42578125" customWidth="1"/>
    <col min="10" max="10" width="9.85546875" customWidth="1"/>
    <col min="11" max="11" width="9.5703125" customWidth="1"/>
  </cols>
  <sheetData>
    <row r="1" spans="1:26" ht="26.25" thickBot="1" x14ac:dyDescent="0.25">
      <c r="A1" s="9" t="s">
        <v>0</v>
      </c>
      <c r="B1" s="10" t="s">
        <v>1</v>
      </c>
      <c r="C1" s="11" t="s">
        <v>111</v>
      </c>
      <c r="D1" s="11" t="s">
        <v>160</v>
      </c>
      <c r="E1" s="12" t="s">
        <v>112</v>
      </c>
    </row>
    <row r="2" spans="1:26" x14ac:dyDescent="0.2">
      <c r="A2" s="7" t="s">
        <v>114</v>
      </c>
      <c r="B2" s="76" t="s">
        <v>139</v>
      </c>
      <c r="C2" s="13">
        <v>4044</v>
      </c>
      <c r="D2" s="14" t="s">
        <v>135</v>
      </c>
      <c r="E2" s="21">
        <v>3700</v>
      </c>
      <c r="F2" s="2"/>
      <c r="G2" s="2"/>
      <c r="H2" s="2"/>
      <c r="I2" s="2"/>
      <c r="J2" s="3"/>
      <c r="K2" s="3"/>
      <c r="L2" s="2"/>
      <c r="M2" s="2"/>
      <c r="N2" s="3"/>
      <c r="O2" s="2"/>
      <c r="P2" s="2"/>
      <c r="Q2" s="2"/>
      <c r="R2" s="2"/>
      <c r="S2" s="2"/>
      <c r="T2" s="2"/>
      <c r="U2" s="2"/>
      <c r="V2" s="3"/>
      <c r="W2" s="3"/>
      <c r="X2" s="2"/>
      <c r="Y2" s="2"/>
      <c r="Z2" s="3"/>
    </row>
    <row r="3" spans="1:26" x14ac:dyDescent="0.2">
      <c r="A3" s="7" t="s">
        <v>140</v>
      </c>
      <c r="B3" s="76" t="s">
        <v>141</v>
      </c>
      <c r="C3" s="13">
        <v>3362</v>
      </c>
      <c r="D3" s="14" t="s">
        <v>135</v>
      </c>
      <c r="E3" s="21">
        <v>3130</v>
      </c>
    </row>
    <row r="4" spans="1:26" x14ac:dyDescent="0.2">
      <c r="A4" s="7" t="s">
        <v>116</v>
      </c>
      <c r="B4" s="13" t="s">
        <v>117</v>
      </c>
      <c r="C4" s="13">
        <v>78000</v>
      </c>
      <c r="D4" s="14" t="s">
        <v>118</v>
      </c>
      <c r="E4" s="21">
        <v>5100</v>
      </c>
    </row>
    <row r="5" spans="1:26" x14ac:dyDescent="0.2">
      <c r="A5" s="7" t="s">
        <v>119</v>
      </c>
      <c r="C5" s="13">
        <v>19000</v>
      </c>
      <c r="D5" s="14" t="s">
        <v>118</v>
      </c>
      <c r="E5" s="21">
        <v>0</v>
      </c>
      <c r="G5" s="1"/>
    </row>
    <row r="6" spans="1:26" x14ac:dyDescent="0.2">
      <c r="A6" s="7" t="s">
        <v>120</v>
      </c>
      <c r="B6" s="74" t="s">
        <v>188</v>
      </c>
      <c r="C6" s="13">
        <v>56000</v>
      </c>
      <c r="D6" s="14" t="s">
        <v>115</v>
      </c>
      <c r="E6" s="21">
        <v>23930</v>
      </c>
    </row>
    <row r="7" spans="1:26" ht="13.5" thickBot="1" x14ac:dyDescent="0.25">
      <c r="A7" s="7" t="s">
        <v>121</v>
      </c>
      <c r="B7" s="74" t="s">
        <v>194</v>
      </c>
      <c r="C7" s="13">
        <v>45000</v>
      </c>
      <c r="D7" s="14" t="s">
        <v>115</v>
      </c>
      <c r="E7" s="21">
        <v>27384</v>
      </c>
    </row>
    <row r="8" spans="1:26" x14ac:dyDescent="0.2">
      <c r="A8" s="19"/>
      <c r="B8" s="15"/>
      <c r="C8" s="15"/>
      <c r="D8" s="16"/>
      <c r="E8" s="50"/>
    </row>
    <row r="9" spans="1:26" x14ac:dyDescent="0.2">
      <c r="A9" s="7" t="s">
        <v>122</v>
      </c>
      <c r="B9" s="13" t="s">
        <v>123</v>
      </c>
      <c r="C9" s="13" t="s">
        <v>124</v>
      </c>
      <c r="D9" s="14" t="s">
        <v>125</v>
      </c>
      <c r="E9" s="21">
        <v>0</v>
      </c>
    </row>
    <row r="10" spans="1:26" x14ac:dyDescent="0.2">
      <c r="A10" s="7" t="s">
        <v>126</v>
      </c>
      <c r="B10" s="13" t="s">
        <v>127</v>
      </c>
      <c r="C10" s="13" t="s">
        <v>124</v>
      </c>
      <c r="D10" s="14" t="s">
        <v>125</v>
      </c>
      <c r="E10" s="21">
        <v>0</v>
      </c>
    </row>
    <row r="11" spans="1:26" ht="13.5" thickBot="1" x14ac:dyDescent="0.25">
      <c r="A11" s="8" t="s">
        <v>128</v>
      </c>
      <c r="B11" s="17" t="s">
        <v>29</v>
      </c>
      <c r="C11" s="17" t="s">
        <v>124</v>
      </c>
      <c r="D11" s="18" t="s">
        <v>125</v>
      </c>
      <c r="E11" s="22">
        <v>0</v>
      </c>
    </row>
    <row r="12" spans="1:26" ht="13.5" thickBot="1" x14ac:dyDescent="0.25">
      <c r="A12" s="87" t="s">
        <v>174</v>
      </c>
      <c r="B12" s="88"/>
      <c r="C12" s="88"/>
      <c r="D12" s="89"/>
      <c r="E12" s="90">
        <v>7</v>
      </c>
    </row>
    <row r="14" spans="1:26" x14ac:dyDescent="0.2">
      <c r="A14" t="s">
        <v>129</v>
      </c>
      <c r="D14" s="51">
        <v>0</v>
      </c>
      <c r="E14" t="s">
        <v>130</v>
      </c>
      <c r="F14" s="6">
        <f>ROUND(D14*6.29,0)</f>
        <v>0</v>
      </c>
      <c r="G14" t="s">
        <v>131</v>
      </c>
      <c r="L14" t="s">
        <v>132</v>
      </c>
    </row>
    <row r="15" spans="1:26" x14ac:dyDescent="0.2">
      <c r="A15" t="s">
        <v>133</v>
      </c>
      <c r="D15" s="52">
        <v>153943</v>
      </c>
      <c r="E15" t="s">
        <v>130</v>
      </c>
      <c r="F15" s="6">
        <f>ROUND(D15*6.29,0)</f>
        <v>968301</v>
      </c>
      <c r="G15" t="s">
        <v>131</v>
      </c>
    </row>
    <row r="16" spans="1:26" x14ac:dyDescent="0.2">
      <c r="A16" t="s">
        <v>134</v>
      </c>
      <c r="D16" s="97">
        <v>4966</v>
      </c>
      <c r="E16" t="s">
        <v>130</v>
      </c>
      <c r="F16" s="6">
        <f>ROUND(D16*6.29,0)</f>
        <v>31236</v>
      </c>
      <c r="G16" t="s">
        <v>131</v>
      </c>
      <c r="H16" s="1"/>
    </row>
    <row r="54" spans="1:23" x14ac:dyDescent="0.2">
      <c r="D54">
        <f>SUM(D56:D86)</f>
        <v>153943</v>
      </c>
    </row>
    <row r="55" spans="1:23" x14ac:dyDescent="0.2">
      <c r="A55" s="51">
        <f ca="1">DAY(TODAY())</f>
        <v>15</v>
      </c>
      <c r="B55" s="51"/>
      <c r="C55" s="51"/>
      <c r="D55" s="51"/>
    </row>
    <row r="56" spans="1:23" x14ac:dyDescent="0.2">
      <c r="A56" s="51">
        <f ca="1">DAY(TODAY()-1)</f>
        <v>14</v>
      </c>
      <c r="B56" s="51"/>
      <c r="C56" s="51">
        <v>1</v>
      </c>
      <c r="D56" s="51">
        <v>11895</v>
      </c>
      <c r="F56" s="51"/>
      <c r="W56" s="51"/>
    </row>
    <row r="57" spans="1:23" x14ac:dyDescent="0.2">
      <c r="A57" s="51"/>
      <c r="B57" s="51"/>
      <c r="C57" s="51">
        <v>2</v>
      </c>
      <c r="D57" s="51">
        <v>12077</v>
      </c>
      <c r="F57" s="51"/>
      <c r="W57" s="51"/>
    </row>
    <row r="58" spans="1:23" x14ac:dyDescent="0.2">
      <c r="A58" s="51"/>
      <c r="B58" s="51"/>
      <c r="C58" s="51">
        <v>3</v>
      </c>
      <c r="D58" s="51">
        <v>12420</v>
      </c>
      <c r="F58" s="51"/>
      <c r="W58" s="51"/>
    </row>
    <row r="59" spans="1:23" x14ac:dyDescent="0.2">
      <c r="A59" s="51"/>
      <c r="B59" s="51"/>
      <c r="C59" s="51">
        <v>4</v>
      </c>
      <c r="D59" s="51">
        <v>11636</v>
      </c>
      <c r="F59" s="51"/>
      <c r="W59" s="51"/>
    </row>
    <row r="60" spans="1:23" x14ac:dyDescent="0.2">
      <c r="A60" s="51"/>
      <c r="B60" s="51"/>
      <c r="C60" s="51">
        <v>5</v>
      </c>
      <c r="D60" s="51">
        <v>11606</v>
      </c>
      <c r="F60" s="51"/>
      <c r="W60" s="51"/>
    </row>
    <row r="61" spans="1:23" x14ac:dyDescent="0.2">
      <c r="A61" s="51"/>
      <c r="B61" s="51"/>
      <c r="C61" s="51">
        <v>6</v>
      </c>
      <c r="D61" s="51">
        <v>13032</v>
      </c>
      <c r="F61" s="51"/>
      <c r="W61" s="51"/>
    </row>
    <row r="62" spans="1:23" x14ac:dyDescent="0.2">
      <c r="A62" s="51"/>
      <c r="B62" s="51"/>
      <c r="C62" s="51">
        <v>7</v>
      </c>
      <c r="D62" s="51">
        <v>13313</v>
      </c>
      <c r="F62" s="51"/>
      <c r="W62" s="51"/>
    </row>
    <row r="63" spans="1:23" x14ac:dyDescent="0.2">
      <c r="A63" s="51"/>
      <c r="B63" s="51"/>
      <c r="C63" s="51">
        <v>8</v>
      </c>
      <c r="D63" s="51">
        <v>12932</v>
      </c>
      <c r="F63" s="51"/>
      <c r="W63" s="51"/>
    </row>
    <row r="64" spans="1:23" x14ac:dyDescent="0.2">
      <c r="A64" s="51"/>
      <c r="B64" s="51"/>
      <c r="C64" s="51">
        <v>9</v>
      </c>
      <c r="D64" s="51">
        <v>12200</v>
      </c>
      <c r="F64" s="51">
        <v>11884</v>
      </c>
      <c r="W64" s="51"/>
    </row>
    <row r="65" spans="1:23" x14ac:dyDescent="0.2">
      <c r="A65" s="51"/>
      <c r="B65" s="51"/>
      <c r="C65" s="51">
        <v>10</v>
      </c>
      <c r="D65" s="51">
        <v>12164</v>
      </c>
      <c r="F65" s="51">
        <v>11896</v>
      </c>
      <c r="W65" s="51"/>
    </row>
    <row r="66" spans="1:23" x14ac:dyDescent="0.2">
      <c r="A66" s="51"/>
      <c r="B66" s="51"/>
      <c r="C66" s="51">
        <v>11</v>
      </c>
      <c r="D66" s="51">
        <v>12093</v>
      </c>
      <c r="E66" s="51"/>
      <c r="F66" s="51">
        <v>12118</v>
      </c>
      <c r="W66" s="51"/>
    </row>
    <row r="67" spans="1:23" x14ac:dyDescent="0.2">
      <c r="A67" s="51"/>
      <c r="B67" s="51"/>
      <c r="C67" s="51">
        <v>12</v>
      </c>
      <c r="D67" s="51">
        <v>11925</v>
      </c>
      <c r="E67" s="51"/>
      <c r="F67" s="51"/>
      <c r="W67" s="51"/>
    </row>
    <row r="68" spans="1:23" x14ac:dyDescent="0.2">
      <c r="A68" s="51"/>
      <c r="B68" s="51"/>
      <c r="C68" s="51">
        <v>13</v>
      </c>
      <c r="D68" s="51">
        <v>0</v>
      </c>
      <c r="F68" s="51"/>
      <c r="W68" s="51"/>
    </row>
    <row r="69" spans="1:23" x14ac:dyDescent="0.2">
      <c r="A69" s="51"/>
      <c r="B69" s="51"/>
      <c r="C69" s="51">
        <v>14</v>
      </c>
      <c r="D69" s="51">
        <v>0</v>
      </c>
      <c r="F69" s="51"/>
      <c r="W69" s="51"/>
    </row>
    <row r="70" spans="1:23" x14ac:dyDescent="0.2">
      <c r="A70" s="51"/>
      <c r="B70" s="51"/>
      <c r="C70" s="51">
        <v>15</v>
      </c>
      <c r="D70" s="51">
        <v>6650</v>
      </c>
      <c r="F70" s="51"/>
      <c r="W70" s="51"/>
    </row>
    <row r="71" spans="1:23" x14ac:dyDescent="0.2">
      <c r="A71" s="51"/>
      <c r="B71" s="51"/>
      <c r="C71" s="51">
        <v>16</v>
      </c>
      <c r="D71" s="51">
        <v>0</v>
      </c>
      <c r="F71" s="51"/>
      <c r="W71" s="51"/>
    </row>
    <row r="72" spans="1:23" x14ac:dyDescent="0.2">
      <c r="A72" s="51"/>
      <c r="B72" s="51"/>
      <c r="C72" s="51">
        <v>17</v>
      </c>
      <c r="D72" s="51">
        <v>0</v>
      </c>
      <c r="F72" s="51"/>
      <c r="W72" s="51"/>
    </row>
    <row r="73" spans="1:23" x14ac:dyDescent="0.2">
      <c r="A73" s="51"/>
      <c r="B73" s="51"/>
      <c r="C73" s="51">
        <v>18</v>
      </c>
      <c r="D73" s="51">
        <v>0</v>
      </c>
      <c r="F73" s="51"/>
      <c r="W73" s="51"/>
    </row>
    <row r="74" spans="1:23" x14ac:dyDescent="0.2">
      <c r="A74" s="51"/>
      <c r="B74" s="51"/>
      <c r="C74" s="51">
        <v>19</v>
      </c>
      <c r="D74" s="51">
        <v>0</v>
      </c>
      <c r="F74" s="51"/>
      <c r="W74" s="51"/>
    </row>
    <row r="75" spans="1:23" x14ac:dyDescent="0.2">
      <c r="A75" s="51"/>
      <c r="B75" s="51"/>
      <c r="C75" s="51">
        <v>20</v>
      </c>
      <c r="D75" s="51">
        <v>0</v>
      </c>
      <c r="F75" s="51"/>
      <c r="W75" s="51"/>
    </row>
    <row r="76" spans="1:23" x14ac:dyDescent="0.2">
      <c r="A76" s="51"/>
      <c r="B76" s="51"/>
      <c r="C76" s="51">
        <v>21</v>
      </c>
      <c r="D76" s="51">
        <v>0</v>
      </c>
      <c r="F76" s="51"/>
      <c r="W76" s="51"/>
    </row>
    <row r="77" spans="1:23" x14ac:dyDescent="0.2">
      <c r="A77" s="51"/>
      <c r="B77" s="51"/>
      <c r="C77" s="51">
        <v>22</v>
      </c>
      <c r="D77" s="51">
        <v>0</v>
      </c>
      <c r="F77" s="51"/>
      <c r="W77" s="51"/>
    </row>
    <row r="78" spans="1:23" x14ac:dyDescent="0.2">
      <c r="A78" s="51"/>
      <c r="B78" s="51"/>
      <c r="C78" s="51">
        <v>23</v>
      </c>
      <c r="D78" s="51">
        <v>0</v>
      </c>
      <c r="F78" s="51"/>
      <c r="W78" s="51"/>
    </row>
    <row r="79" spans="1:23" x14ac:dyDescent="0.2">
      <c r="A79" s="51"/>
      <c r="B79" s="51"/>
      <c r="C79" s="51">
        <v>24</v>
      </c>
      <c r="D79" s="51">
        <v>0</v>
      </c>
      <c r="F79" s="51"/>
      <c r="W79" s="51"/>
    </row>
    <row r="80" spans="1:23" x14ac:dyDescent="0.2">
      <c r="A80" s="51"/>
      <c r="B80" s="51"/>
      <c r="C80" s="51">
        <v>25</v>
      </c>
      <c r="D80" s="51">
        <v>0</v>
      </c>
      <c r="F80" s="51"/>
      <c r="W80" s="51"/>
    </row>
    <row r="81" spans="1:23" x14ac:dyDescent="0.2">
      <c r="A81" s="51"/>
      <c r="B81" s="51"/>
      <c r="C81" s="51">
        <v>26</v>
      </c>
      <c r="D81" s="51">
        <v>0</v>
      </c>
      <c r="F81" s="51"/>
      <c r="W81" s="51"/>
    </row>
    <row r="82" spans="1:23" x14ac:dyDescent="0.2">
      <c r="A82" s="51"/>
      <c r="B82" s="51"/>
      <c r="C82" s="51">
        <v>27</v>
      </c>
      <c r="D82" s="51">
        <v>0</v>
      </c>
      <c r="F82" s="51"/>
      <c r="W82" s="51"/>
    </row>
    <row r="83" spans="1:23" x14ac:dyDescent="0.2">
      <c r="A83" s="51"/>
      <c r="B83" s="51"/>
      <c r="C83" s="51">
        <v>28</v>
      </c>
      <c r="F83" s="51"/>
      <c r="W83" s="51"/>
    </row>
    <row r="84" spans="1:23" x14ac:dyDescent="0.2">
      <c r="A84" s="51"/>
      <c r="B84" s="51"/>
      <c r="C84" s="51">
        <v>29</v>
      </c>
    </row>
    <row r="85" spans="1:23" x14ac:dyDescent="0.2">
      <c r="A85" s="51"/>
      <c r="B85" s="51"/>
      <c r="C85" s="51">
        <v>30</v>
      </c>
      <c r="E85" s="51"/>
    </row>
    <row r="86" spans="1:23" x14ac:dyDescent="0.2">
      <c r="A86" s="51"/>
      <c r="B86" s="51"/>
      <c r="C86" s="51">
        <v>31</v>
      </c>
    </row>
  </sheetData>
  <phoneticPr fontId="0" type="noConversion"/>
  <pageMargins left="0.75" right="0.75" top="1" bottom="1" header="0.5" footer="0.5"/>
  <pageSetup paperSize="9" orientation="portrait" horizontalDpi="204" verticalDpi="196" r:id="rId1"/>
  <headerFooter alignWithMargins="0">
    <oddHeader>&amp;A</oddHeader>
    <oddFooter>Page &amp;P</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W200"/>
  <sheetViews>
    <sheetView workbookViewId="0"/>
  </sheetViews>
  <sheetFormatPr defaultColWidth="9.85546875" defaultRowHeight="12.75" x14ac:dyDescent="0.2"/>
  <cols>
    <col min="1" max="10" width="9.85546875" style="51" customWidth="1"/>
    <col min="11" max="23" width="9.85546875" style="52" customWidth="1"/>
    <col min="24" max="16384" width="9.85546875" style="51"/>
  </cols>
  <sheetData>
    <row r="1" spans="1:23" x14ac:dyDescent="0.2">
      <c r="A1" s="51" t="s">
        <v>196</v>
      </c>
      <c r="B1" s="51" t="s">
        <v>197</v>
      </c>
      <c r="C1" s="51" t="s">
        <v>198</v>
      </c>
      <c r="D1" s="51" t="s">
        <v>199</v>
      </c>
      <c r="E1" s="51" t="s">
        <v>200</v>
      </c>
      <c r="F1" s="51" t="s">
        <v>201</v>
      </c>
      <c r="G1" s="51" t="s">
        <v>202</v>
      </c>
      <c r="H1" s="51" t="s">
        <v>203</v>
      </c>
      <c r="I1" s="51" t="s">
        <v>204</v>
      </c>
      <c r="J1" s="51" t="s">
        <v>205</v>
      </c>
      <c r="K1" s="93"/>
      <c r="N1" s="52" t="str">
        <f t="shared" ref="N1:W2" si="0">A1</f>
        <v>Tank</v>
      </c>
      <c r="O1" s="52" t="str">
        <f t="shared" si="0"/>
        <v>Product</v>
      </c>
      <c r="P1" s="52" t="str">
        <f t="shared" si="0"/>
        <v>Level(m)</v>
      </c>
      <c r="Q1" s="52" t="str">
        <f t="shared" si="0"/>
        <v>GOV (m3)</v>
      </c>
      <c r="R1" s="52" t="str">
        <f t="shared" si="0"/>
        <v>Temp(°C)</v>
      </c>
      <c r="S1" s="52" t="str">
        <f t="shared" si="0"/>
        <v>AVRM (m3)</v>
      </c>
      <c r="T1" s="52" t="str">
        <f t="shared" si="0"/>
        <v>NSV (m3)</v>
      </c>
      <c r="U1" s="52" t="str">
        <f t="shared" si="0"/>
        <v>Dens</v>
      </c>
      <c r="V1" s="52" t="str">
        <f t="shared" si="0"/>
        <v>Status</v>
      </c>
      <c r="W1" s="93" t="str">
        <f t="shared" si="0"/>
        <v>NSVDiff</v>
      </c>
    </row>
    <row r="2" spans="1:23" x14ac:dyDescent="0.2">
      <c r="A2" s="51" t="s">
        <v>110</v>
      </c>
      <c r="B2" s="51" t="s">
        <v>206</v>
      </c>
      <c r="C2" s="51" t="s">
        <v>207</v>
      </c>
      <c r="D2" s="51" t="s">
        <v>110</v>
      </c>
      <c r="E2" s="51" t="s">
        <v>208</v>
      </c>
      <c r="F2" s="51" t="s">
        <v>110</v>
      </c>
      <c r="G2" s="51" t="s">
        <v>110</v>
      </c>
      <c r="H2" s="51" t="s">
        <v>209</v>
      </c>
      <c r="I2" s="51" t="s">
        <v>209</v>
      </c>
      <c r="J2" s="51" t="s">
        <v>110</v>
      </c>
      <c r="K2" s="93"/>
      <c r="N2" s="52" t="str">
        <f t="shared" si="0"/>
        <v>____________</v>
      </c>
      <c r="O2" s="52" t="str">
        <f t="shared" si="0"/>
        <v>________________</v>
      </c>
      <c r="P2" s="52" t="str">
        <f t="shared" si="0"/>
        <v>___________</v>
      </c>
      <c r="Q2" s="52" t="str">
        <f t="shared" si="0"/>
        <v>____________</v>
      </c>
      <c r="R2" s="52" t="str">
        <f t="shared" si="0"/>
        <v>__________</v>
      </c>
      <c r="S2" s="52" t="str">
        <f t="shared" si="0"/>
        <v>____________</v>
      </c>
      <c r="T2" s="52" t="str">
        <f t="shared" si="0"/>
        <v>____________</v>
      </c>
      <c r="U2" s="52" t="str">
        <f t="shared" si="0"/>
        <v>________</v>
      </c>
      <c r="V2" s="52" t="str">
        <f t="shared" si="0"/>
        <v>________</v>
      </c>
      <c r="W2" s="93" t="str">
        <f t="shared" si="0"/>
        <v>____________</v>
      </c>
    </row>
    <row r="3" spans="1:23" x14ac:dyDescent="0.2">
      <c r="A3" s="51" t="s">
        <v>14</v>
      </c>
      <c r="B3" s="51" t="s">
        <v>210</v>
      </c>
      <c r="C3" s="92">
        <v>13302</v>
      </c>
      <c r="D3" s="92">
        <v>36643067</v>
      </c>
      <c r="E3" s="92" t="s">
        <v>238</v>
      </c>
      <c r="F3" s="92">
        <v>-215942</v>
      </c>
      <c r="G3" s="92">
        <v>36643067</v>
      </c>
      <c r="H3" s="92" t="s">
        <v>255</v>
      </c>
      <c r="I3" s="51" t="s">
        <v>256</v>
      </c>
      <c r="J3" s="51">
        <v>35044</v>
      </c>
      <c r="K3" s="93" t="str">
        <f>MID(B3,4,20)</f>
        <v>Crude Oil</v>
      </c>
      <c r="N3" s="52" t="str">
        <f>IF(ISTEXT(A3),A3,"")</f>
        <v>TK-802</v>
      </c>
      <c r="O3" s="52" t="str">
        <f>IF(ISTEXT(B3),B3,"")</f>
        <v>01 Crude Oil</v>
      </c>
      <c r="P3" s="52">
        <f t="shared" ref="P3:P64" si="1">IF(ISTEXT(C3),IF(ISNUMBER(VALUE(SUBSTITUTE(C3,".",","))),VALUE(SUBSTITUTE(C3,".",",")),C3),IF(C3&gt;0,C3/1000,""))</f>
        <v>13.302</v>
      </c>
      <c r="Q3" s="52">
        <f t="shared" ref="Q3:Q50" si="2">IF(ISTEXT(D3),IF(LEFT(D3,1)="0",VALUE(LEFT(D3,1)),D3),IF(D3&gt;0,D3/1000,""))</f>
        <v>36643.067000000003</v>
      </c>
      <c r="R3" s="52">
        <f t="shared" ref="R3:R34" si="3">IF(ISNUMBER(VALUE(SUBSTITUTE(E3,".",","))),VALUE(SUBSTITUTE(E3,".",",")),"")</f>
        <v>15</v>
      </c>
      <c r="S3" s="52" t="str">
        <f t="shared" ref="S3:S34" si="4">IF(ISTEXT(F3),F3,IF(F3&gt;0,F3/1000,""))</f>
        <v/>
      </c>
      <c r="T3" s="52">
        <f t="shared" ref="T3:T34" si="5">IF(ISTEXT(G3),G3,IF(G3&gt;0,G3/1000,""))</f>
        <v>36643.067000000003</v>
      </c>
      <c r="U3" s="52">
        <f t="shared" ref="U3:U34" si="6">IF(ISNUMBER(VALUE(SUBSTITUTE(H3,".",","))),VALUE(SUBSTITUTE(H3,".",",")),"")</f>
        <v>829.6</v>
      </c>
      <c r="V3" s="52" t="str">
        <f t="shared" ref="V3:V34" si="7">IF(ISTEXT(I3),I3,"")</f>
        <v>High</v>
      </c>
      <c r="W3" s="93">
        <f>IF(LEFT(J3,3)="-0.",MID(J3,4,10)/-1000,IF(LEFT(J3,2)="0.",MID(J3,3,10)/1000,IF(ISTEXT(J3),J3,IF(J3=0,"",J3/1000))))</f>
        <v>35.043999999999997</v>
      </c>
    </row>
    <row r="4" spans="1:23" x14ac:dyDescent="0.2">
      <c r="A4" s="51" t="s">
        <v>15</v>
      </c>
      <c r="B4" s="51" t="s">
        <v>210</v>
      </c>
      <c r="C4" s="51">
        <v>10373</v>
      </c>
      <c r="D4" s="51">
        <v>28662130</v>
      </c>
      <c r="E4" s="51" t="s">
        <v>257</v>
      </c>
      <c r="F4" s="51">
        <v>7793349</v>
      </c>
      <c r="G4" s="51">
        <v>28376942</v>
      </c>
      <c r="H4" s="51" t="s">
        <v>258</v>
      </c>
      <c r="J4" s="51">
        <v>85941</v>
      </c>
      <c r="K4" s="93" t="str">
        <f t="shared" ref="K4:K67" si="8">MID(B4,4,20)</f>
        <v>Crude Oil</v>
      </c>
      <c r="N4" s="52" t="str">
        <f t="shared" ref="N4:N67" si="9">IF(ISTEXT(A4),A4,"")</f>
        <v>TK-803</v>
      </c>
      <c r="O4" s="52" t="str">
        <f t="shared" ref="O4:O67" si="10">IF(ISTEXT(B4),B4,"")</f>
        <v>01 Crude Oil</v>
      </c>
      <c r="P4" s="52">
        <f t="shared" si="1"/>
        <v>10.372999999999999</v>
      </c>
      <c r="Q4" s="52">
        <f t="shared" si="2"/>
        <v>28662.13</v>
      </c>
      <c r="R4" s="52">
        <f t="shared" si="3"/>
        <v>27</v>
      </c>
      <c r="S4" s="52">
        <f t="shared" si="4"/>
        <v>7793.3490000000002</v>
      </c>
      <c r="T4" s="52">
        <f t="shared" si="5"/>
        <v>28376.941999999999</v>
      </c>
      <c r="U4" s="52">
        <f t="shared" si="6"/>
        <v>834.6</v>
      </c>
      <c r="V4" s="52" t="str">
        <f t="shared" si="7"/>
        <v/>
      </c>
      <c r="W4" s="93">
        <f t="shared" ref="W4:W67" si="11">IF(LEFT(J4,3)="-0.",MID(J4,4,10)/-1000,IF(LEFT(J4,2)="0.",MID(J4,3,10)/1000,IF(ISTEXT(J4),J4,IF(J4=0,"",J4/1000))))</f>
        <v>85.941000000000003</v>
      </c>
    </row>
    <row r="5" spans="1:23" x14ac:dyDescent="0.2">
      <c r="A5" s="51" t="s">
        <v>16</v>
      </c>
      <c r="B5" s="51" t="s">
        <v>210</v>
      </c>
      <c r="C5" s="51">
        <v>5859</v>
      </c>
      <c r="D5" s="51">
        <v>16399052</v>
      </c>
      <c r="E5" s="51" t="s">
        <v>259</v>
      </c>
      <c r="F5" s="51">
        <v>20048338</v>
      </c>
      <c r="G5" s="51">
        <v>16373633</v>
      </c>
      <c r="H5" s="51" t="s">
        <v>260</v>
      </c>
      <c r="J5" s="51">
        <v>-13030284</v>
      </c>
      <c r="K5" s="93" t="str">
        <f t="shared" si="8"/>
        <v>Crude Oil</v>
      </c>
      <c r="N5" s="52" t="str">
        <f t="shared" si="9"/>
        <v>TK-804</v>
      </c>
      <c r="O5" s="52" t="str">
        <f t="shared" si="10"/>
        <v>01 Crude Oil</v>
      </c>
      <c r="P5" s="52">
        <f t="shared" si="1"/>
        <v>5.859</v>
      </c>
      <c r="Q5" s="52">
        <f t="shared" si="2"/>
        <v>16399.052</v>
      </c>
      <c r="R5" s="52">
        <f t="shared" si="3"/>
        <v>16.8</v>
      </c>
      <c r="S5" s="52">
        <f t="shared" si="4"/>
        <v>20048.338</v>
      </c>
      <c r="T5" s="52">
        <f t="shared" si="5"/>
        <v>16373.633</v>
      </c>
      <c r="U5" s="52">
        <f t="shared" si="6"/>
        <v>845</v>
      </c>
      <c r="V5" s="52" t="str">
        <f t="shared" si="7"/>
        <v/>
      </c>
      <c r="W5" s="93">
        <f t="shared" si="11"/>
        <v>-13030.284</v>
      </c>
    </row>
    <row r="6" spans="1:23" x14ac:dyDescent="0.2">
      <c r="A6" s="51" t="s">
        <v>18</v>
      </c>
      <c r="B6" s="51" t="s">
        <v>210</v>
      </c>
      <c r="C6" s="51">
        <v>8155</v>
      </c>
      <c r="D6" s="51">
        <v>34912686</v>
      </c>
      <c r="E6" s="51" t="s">
        <v>261</v>
      </c>
      <c r="F6" s="51">
        <v>23221891</v>
      </c>
      <c r="G6" s="51">
        <v>34623260</v>
      </c>
      <c r="H6" s="51" t="s">
        <v>262</v>
      </c>
      <c r="J6" s="51">
        <v>7344592</v>
      </c>
      <c r="K6" s="93" t="str">
        <f t="shared" si="8"/>
        <v>Crude Oil</v>
      </c>
      <c r="N6" s="52" t="str">
        <f t="shared" si="9"/>
        <v>TK-806</v>
      </c>
      <c r="O6" s="52" t="str">
        <f t="shared" si="10"/>
        <v>01 Crude Oil</v>
      </c>
      <c r="P6" s="52">
        <f t="shared" si="1"/>
        <v>8.1549999999999994</v>
      </c>
      <c r="Q6" s="52">
        <f t="shared" si="2"/>
        <v>34912.686000000002</v>
      </c>
      <c r="R6" s="52">
        <f t="shared" si="3"/>
        <v>21.6</v>
      </c>
      <c r="S6" s="52">
        <f t="shared" si="4"/>
        <v>23221.891</v>
      </c>
      <c r="T6" s="52">
        <f t="shared" si="5"/>
        <v>34623.26</v>
      </c>
      <c r="U6" s="52">
        <f t="shared" si="6"/>
        <v>845.1</v>
      </c>
      <c r="V6" s="52" t="str">
        <f t="shared" si="7"/>
        <v/>
      </c>
      <c r="W6" s="93">
        <f t="shared" si="11"/>
        <v>7344.5919999999996</v>
      </c>
    </row>
    <row r="7" spans="1:23" x14ac:dyDescent="0.2">
      <c r="A7" s="51" t="s">
        <v>155</v>
      </c>
      <c r="B7" s="51" t="s">
        <v>210</v>
      </c>
      <c r="C7" s="51">
        <v>13917</v>
      </c>
      <c r="D7" s="51">
        <v>66062658</v>
      </c>
      <c r="E7" s="51" t="s">
        <v>263</v>
      </c>
      <c r="F7" s="51">
        <v>10488064</v>
      </c>
      <c r="G7" s="51">
        <v>65931854</v>
      </c>
      <c r="H7" s="51" t="s">
        <v>264</v>
      </c>
      <c r="J7" s="51">
        <v>5361</v>
      </c>
      <c r="K7" s="93" t="str">
        <f t="shared" si="8"/>
        <v>Crude Oil</v>
      </c>
      <c r="N7" s="52" t="str">
        <f t="shared" si="9"/>
        <v>TK-881</v>
      </c>
      <c r="O7" s="52" t="str">
        <f t="shared" si="10"/>
        <v>01 Crude Oil</v>
      </c>
      <c r="P7" s="52">
        <f t="shared" si="1"/>
        <v>13.917</v>
      </c>
      <c r="Q7" s="52">
        <f t="shared" si="2"/>
        <v>66062.657999999996</v>
      </c>
      <c r="R7" s="52">
        <f t="shared" si="3"/>
        <v>17.600000000000001</v>
      </c>
      <c r="S7" s="52">
        <f t="shared" si="4"/>
        <v>10488.064</v>
      </c>
      <c r="T7" s="52">
        <f t="shared" si="5"/>
        <v>65931.854000000007</v>
      </c>
      <c r="U7" s="52">
        <f t="shared" si="6"/>
        <v>876</v>
      </c>
      <c r="V7" s="52" t="str">
        <f t="shared" si="7"/>
        <v/>
      </c>
      <c r="W7" s="93">
        <f t="shared" si="11"/>
        <v>5.3609999999999998</v>
      </c>
    </row>
    <row r="8" spans="1:23" x14ac:dyDescent="0.2">
      <c r="A8" s="51" t="s">
        <v>156</v>
      </c>
      <c r="B8" s="51" t="s">
        <v>210</v>
      </c>
      <c r="C8" s="51">
        <v>16185</v>
      </c>
      <c r="D8" s="51">
        <v>76844970</v>
      </c>
      <c r="E8" s="51" t="s">
        <v>259</v>
      </c>
      <c r="F8" s="51">
        <v>-294545</v>
      </c>
      <c r="G8" s="51">
        <v>76733545</v>
      </c>
      <c r="H8" s="51" t="s">
        <v>265</v>
      </c>
      <c r="J8" s="51">
        <v>15875</v>
      </c>
      <c r="K8" s="93" t="str">
        <f t="shared" si="8"/>
        <v>Crude Oil</v>
      </c>
      <c r="N8" s="52" t="str">
        <f t="shared" si="9"/>
        <v>TK-882</v>
      </c>
      <c r="O8" s="52" t="str">
        <f t="shared" si="10"/>
        <v>01 Crude Oil</v>
      </c>
      <c r="P8" s="52">
        <f t="shared" si="1"/>
        <v>16.184999999999999</v>
      </c>
      <c r="Q8" s="52">
        <f t="shared" si="2"/>
        <v>76844.97</v>
      </c>
      <c r="R8" s="52">
        <f t="shared" si="3"/>
        <v>16.8</v>
      </c>
      <c r="S8" s="52" t="str">
        <f t="shared" si="4"/>
        <v/>
      </c>
      <c r="T8" s="52">
        <f t="shared" si="5"/>
        <v>76733.544999999998</v>
      </c>
      <c r="U8" s="52">
        <f t="shared" si="6"/>
        <v>872</v>
      </c>
      <c r="V8" s="52" t="str">
        <f t="shared" si="7"/>
        <v/>
      </c>
      <c r="W8" s="93">
        <f t="shared" si="11"/>
        <v>15.875</v>
      </c>
    </row>
    <row r="9" spans="1:23" x14ac:dyDescent="0.2">
      <c r="A9" s="51" t="s">
        <v>175</v>
      </c>
      <c r="B9" s="51" t="s">
        <v>210</v>
      </c>
      <c r="C9" s="51">
        <v>15338</v>
      </c>
      <c r="D9" s="51">
        <v>56346639</v>
      </c>
      <c r="E9" s="51" t="s">
        <v>266</v>
      </c>
      <c r="F9" s="51">
        <v>88065</v>
      </c>
      <c r="G9" s="51">
        <v>56222676</v>
      </c>
      <c r="H9" s="51" t="s">
        <v>267</v>
      </c>
      <c r="J9" s="51">
        <v>39821</v>
      </c>
      <c r="K9" s="93" t="str">
        <f t="shared" si="8"/>
        <v>Crude Oil</v>
      </c>
      <c r="N9" s="52" t="str">
        <f t="shared" si="9"/>
        <v>TK-883</v>
      </c>
      <c r="O9" s="52" t="str">
        <f t="shared" si="10"/>
        <v>01 Crude Oil</v>
      </c>
      <c r="P9" s="52">
        <f t="shared" si="1"/>
        <v>15.337999999999999</v>
      </c>
      <c r="Q9" s="52">
        <f t="shared" si="2"/>
        <v>56346.639000000003</v>
      </c>
      <c r="R9" s="52">
        <f t="shared" si="3"/>
        <v>17.3</v>
      </c>
      <c r="S9" s="52">
        <f t="shared" si="4"/>
        <v>88.064999999999998</v>
      </c>
      <c r="T9" s="52">
        <f t="shared" si="5"/>
        <v>56222.675999999999</v>
      </c>
      <c r="U9" s="52">
        <f t="shared" si="6"/>
        <v>802</v>
      </c>
      <c r="V9" s="52" t="str">
        <f t="shared" si="7"/>
        <v/>
      </c>
      <c r="W9" s="93">
        <f t="shared" si="11"/>
        <v>39.820999999999998</v>
      </c>
    </row>
    <row r="10" spans="1:23" x14ac:dyDescent="0.2">
      <c r="A10" s="51" t="s">
        <v>176</v>
      </c>
      <c r="B10" s="51" t="s">
        <v>210</v>
      </c>
      <c r="C10" s="51">
        <v>2054</v>
      </c>
      <c r="D10" s="51">
        <v>7958574</v>
      </c>
      <c r="E10" s="51" t="s">
        <v>268</v>
      </c>
      <c r="F10" s="51">
        <v>48339267</v>
      </c>
      <c r="G10" s="51">
        <v>7940190</v>
      </c>
      <c r="H10" s="51" t="s">
        <v>269</v>
      </c>
      <c r="J10" s="51">
        <v>25396</v>
      </c>
      <c r="K10" s="93" t="str">
        <f t="shared" si="8"/>
        <v>Crude Oil</v>
      </c>
      <c r="N10" s="52" t="str">
        <f t="shared" si="9"/>
        <v>TK-884</v>
      </c>
      <c r="O10" s="52" t="str">
        <f t="shared" si="10"/>
        <v>01 Crude Oil</v>
      </c>
      <c r="P10" s="52">
        <f t="shared" si="1"/>
        <v>2.0539999999999998</v>
      </c>
      <c r="Q10" s="52">
        <f t="shared" si="2"/>
        <v>7958.5739999999996</v>
      </c>
      <c r="R10" s="52">
        <f t="shared" si="3"/>
        <v>16.100000000000001</v>
      </c>
      <c r="S10" s="52">
        <f t="shared" si="4"/>
        <v>48339.267</v>
      </c>
      <c r="T10" s="52">
        <f t="shared" si="5"/>
        <v>7940.19</v>
      </c>
      <c r="U10" s="52">
        <f t="shared" si="6"/>
        <v>863.4</v>
      </c>
      <c r="V10" s="52" t="str">
        <f t="shared" si="7"/>
        <v/>
      </c>
      <c r="W10" s="93">
        <f t="shared" si="11"/>
        <v>25.396000000000001</v>
      </c>
    </row>
    <row r="11" spans="1:23" x14ac:dyDescent="0.2">
      <c r="A11" s="51" t="s">
        <v>181</v>
      </c>
      <c r="B11" s="51" t="s">
        <v>210</v>
      </c>
      <c r="C11" s="51">
        <v>12778</v>
      </c>
      <c r="D11" s="51">
        <v>46635619</v>
      </c>
      <c r="E11" s="51" t="s">
        <v>270</v>
      </c>
      <c r="F11" s="51">
        <v>9399577</v>
      </c>
      <c r="G11" s="51">
        <v>46572661</v>
      </c>
      <c r="H11" s="51" t="s">
        <v>271</v>
      </c>
      <c r="J11" s="51">
        <v>4266</v>
      </c>
      <c r="K11" s="93" t="str">
        <f t="shared" si="8"/>
        <v>Crude Oil</v>
      </c>
      <c r="N11" s="52" t="str">
        <f t="shared" si="9"/>
        <v>TK-885</v>
      </c>
      <c r="O11" s="52" t="str">
        <f t="shared" si="10"/>
        <v>01 Crude Oil</v>
      </c>
      <c r="P11" s="52">
        <f t="shared" si="1"/>
        <v>12.778</v>
      </c>
      <c r="Q11" s="52">
        <f t="shared" si="2"/>
        <v>46635.618999999999</v>
      </c>
      <c r="R11" s="52">
        <f t="shared" si="3"/>
        <v>16.399999999999999</v>
      </c>
      <c r="S11" s="52">
        <f t="shared" si="4"/>
        <v>9399.5769999999993</v>
      </c>
      <c r="T11" s="52">
        <f t="shared" si="5"/>
        <v>46572.661</v>
      </c>
      <c r="U11" s="52">
        <f t="shared" si="6"/>
        <v>799.6</v>
      </c>
      <c r="V11" s="52" t="str">
        <f t="shared" si="7"/>
        <v/>
      </c>
      <c r="W11" s="93">
        <f t="shared" si="11"/>
        <v>4.266</v>
      </c>
    </row>
    <row r="12" spans="1:23" x14ac:dyDescent="0.2">
      <c r="A12" s="51" t="s">
        <v>180</v>
      </c>
      <c r="B12" s="51" t="s">
        <v>210</v>
      </c>
      <c r="C12" s="51">
        <v>14713</v>
      </c>
      <c r="D12" s="51">
        <v>53959877</v>
      </c>
      <c r="E12" s="51" t="s">
        <v>272</v>
      </c>
      <c r="F12" s="51">
        <v>2095038</v>
      </c>
      <c r="G12" s="51">
        <v>53894586</v>
      </c>
      <c r="H12" s="51" t="s">
        <v>273</v>
      </c>
      <c r="J12" s="51">
        <v>8010</v>
      </c>
      <c r="K12" s="93" t="str">
        <f t="shared" si="8"/>
        <v>Crude Oil</v>
      </c>
      <c r="N12" s="52" t="str">
        <f t="shared" si="9"/>
        <v>TK-886</v>
      </c>
      <c r="O12" s="52" t="str">
        <f t="shared" si="10"/>
        <v>01 Crude Oil</v>
      </c>
      <c r="P12" s="52">
        <f t="shared" si="1"/>
        <v>14.712999999999999</v>
      </c>
      <c r="Q12" s="52">
        <f t="shared" si="2"/>
        <v>53959.877</v>
      </c>
      <c r="R12" s="52">
        <f t="shared" si="3"/>
        <v>16.5</v>
      </c>
      <c r="S12" s="52">
        <f t="shared" si="4"/>
        <v>2095.038</v>
      </c>
      <c r="T12" s="52">
        <f t="shared" si="5"/>
        <v>53894.586000000003</v>
      </c>
      <c r="U12" s="52">
        <f t="shared" si="6"/>
        <v>847.8</v>
      </c>
      <c r="V12" s="52" t="str">
        <f t="shared" si="7"/>
        <v/>
      </c>
      <c r="W12" s="93">
        <f t="shared" si="11"/>
        <v>8.01</v>
      </c>
    </row>
    <row r="13" spans="1:23" x14ac:dyDescent="0.2">
      <c r="A13" s="51" t="s">
        <v>110</v>
      </c>
      <c r="B13" s="51" t="s">
        <v>206</v>
      </c>
      <c r="C13" s="51" t="s">
        <v>207</v>
      </c>
      <c r="D13" s="51" t="s">
        <v>110</v>
      </c>
      <c r="E13" s="51" t="s">
        <v>208</v>
      </c>
      <c r="F13" s="51" t="s">
        <v>110</v>
      </c>
      <c r="G13" s="51" t="s">
        <v>110</v>
      </c>
      <c r="H13" s="51" t="s">
        <v>209</v>
      </c>
      <c r="I13" s="51" t="s">
        <v>209</v>
      </c>
      <c r="J13" s="51" t="s">
        <v>110</v>
      </c>
      <c r="K13" s="93" t="str">
        <f t="shared" si="8"/>
        <v>_____________</v>
      </c>
      <c r="N13" s="52" t="str">
        <f t="shared" si="9"/>
        <v>____________</v>
      </c>
      <c r="O13" s="52" t="str">
        <f t="shared" si="10"/>
        <v>________________</v>
      </c>
      <c r="P13" s="52" t="str">
        <f t="shared" si="1"/>
        <v>___________</v>
      </c>
      <c r="Q13" s="52" t="str">
        <f t="shared" si="2"/>
        <v>____________</v>
      </c>
      <c r="R13" s="52" t="str">
        <f t="shared" si="3"/>
        <v/>
      </c>
      <c r="S13" s="52" t="str">
        <f t="shared" si="4"/>
        <v>____________</v>
      </c>
      <c r="T13" s="52" t="str">
        <f t="shared" si="5"/>
        <v>____________</v>
      </c>
      <c r="U13" s="52" t="str">
        <f t="shared" si="6"/>
        <v/>
      </c>
      <c r="V13" s="52" t="str">
        <f t="shared" si="7"/>
        <v>________</v>
      </c>
      <c r="W13" s="93" t="str">
        <f t="shared" si="11"/>
        <v>____________</v>
      </c>
    </row>
    <row r="14" spans="1:23" x14ac:dyDescent="0.2">
      <c r="K14" s="93" t="str">
        <f t="shared" si="8"/>
        <v/>
      </c>
      <c r="N14" s="52" t="str">
        <f t="shared" si="9"/>
        <v/>
      </c>
      <c r="O14" s="52" t="str">
        <f t="shared" si="10"/>
        <v/>
      </c>
      <c r="P14" s="52" t="str">
        <f t="shared" si="1"/>
        <v/>
      </c>
      <c r="Q14" s="52" t="str">
        <f t="shared" si="2"/>
        <v/>
      </c>
      <c r="R14" s="52" t="str">
        <f t="shared" si="3"/>
        <v/>
      </c>
      <c r="S14" s="52" t="str">
        <f t="shared" si="4"/>
        <v/>
      </c>
      <c r="T14" s="52" t="str">
        <f t="shared" si="5"/>
        <v/>
      </c>
      <c r="U14" s="52" t="str">
        <f t="shared" si="6"/>
        <v/>
      </c>
      <c r="V14" s="52" t="str">
        <f t="shared" si="7"/>
        <v/>
      </c>
      <c r="W14" s="93" t="str">
        <f t="shared" si="11"/>
        <v/>
      </c>
    </row>
    <row r="15" spans="1:23" x14ac:dyDescent="0.2">
      <c r="K15" s="93" t="str">
        <f t="shared" si="8"/>
        <v/>
      </c>
      <c r="N15" s="52" t="str">
        <f t="shared" si="9"/>
        <v/>
      </c>
      <c r="O15" s="52" t="str">
        <f t="shared" si="10"/>
        <v/>
      </c>
      <c r="P15" s="52" t="str">
        <f t="shared" si="1"/>
        <v/>
      </c>
      <c r="Q15" s="52" t="str">
        <f t="shared" si="2"/>
        <v/>
      </c>
      <c r="R15" s="52" t="str">
        <f t="shared" si="3"/>
        <v/>
      </c>
      <c r="S15" s="52" t="str">
        <f t="shared" si="4"/>
        <v/>
      </c>
      <c r="T15" s="52" t="str">
        <f t="shared" si="5"/>
        <v/>
      </c>
      <c r="U15" s="52" t="str">
        <f t="shared" si="6"/>
        <v/>
      </c>
      <c r="V15" s="52" t="str">
        <f t="shared" si="7"/>
        <v/>
      </c>
      <c r="W15" s="93" t="str">
        <f t="shared" si="11"/>
        <v/>
      </c>
    </row>
    <row r="16" spans="1:23" x14ac:dyDescent="0.2">
      <c r="A16" s="51" t="s">
        <v>21</v>
      </c>
      <c r="B16" s="51" t="s">
        <v>213</v>
      </c>
      <c r="C16" s="51">
        <v>3111</v>
      </c>
      <c r="D16" s="51">
        <v>122218</v>
      </c>
      <c r="E16" s="51" t="s">
        <v>274</v>
      </c>
      <c r="F16" s="51">
        <v>287787</v>
      </c>
      <c r="G16" s="51">
        <v>129727</v>
      </c>
      <c r="H16" s="51" t="s">
        <v>214</v>
      </c>
      <c r="J16" s="51">
        <v>-4233</v>
      </c>
      <c r="K16" s="93" t="str">
        <f t="shared" si="8"/>
        <v>Propane</v>
      </c>
      <c r="N16" s="52" t="str">
        <f t="shared" si="9"/>
        <v>TK-816</v>
      </c>
      <c r="O16" s="52" t="str">
        <f t="shared" si="10"/>
        <v>02 Propane</v>
      </c>
      <c r="P16" s="52">
        <f t="shared" si="1"/>
        <v>3.1110000000000002</v>
      </c>
      <c r="Q16" s="52">
        <f t="shared" si="2"/>
        <v>122.218</v>
      </c>
      <c r="R16" s="52">
        <f t="shared" si="3"/>
        <v>17.8</v>
      </c>
      <c r="S16" s="52">
        <f t="shared" si="4"/>
        <v>287.78699999999998</v>
      </c>
      <c r="T16" s="52">
        <f t="shared" si="5"/>
        <v>129.727</v>
      </c>
      <c r="U16" s="52">
        <f t="shared" si="6"/>
        <v>503</v>
      </c>
      <c r="V16" s="52" t="str">
        <f t="shared" si="7"/>
        <v/>
      </c>
      <c r="W16" s="93">
        <f t="shared" si="11"/>
        <v>-4.2329999999999997</v>
      </c>
    </row>
    <row r="17" spans="1:23" x14ac:dyDescent="0.2">
      <c r="A17" s="51" t="s">
        <v>110</v>
      </c>
      <c r="B17" s="51" t="s">
        <v>206</v>
      </c>
      <c r="C17" s="51" t="s">
        <v>207</v>
      </c>
      <c r="D17" s="51" t="s">
        <v>110</v>
      </c>
      <c r="E17" s="51" t="s">
        <v>208</v>
      </c>
      <c r="F17" s="51" t="s">
        <v>110</v>
      </c>
      <c r="G17" s="51" t="s">
        <v>110</v>
      </c>
      <c r="H17" s="51" t="s">
        <v>209</v>
      </c>
      <c r="I17" s="51" t="s">
        <v>209</v>
      </c>
      <c r="J17" s="51" t="s">
        <v>110</v>
      </c>
      <c r="K17" s="93" t="str">
        <f t="shared" si="8"/>
        <v>_____________</v>
      </c>
      <c r="N17" s="52" t="str">
        <f t="shared" si="9"/>
        <v>____________</v>
      </c>
      <c r="O17" s="52" t="str">
        <f t="shared" si="10"/>
        <v>________________</v>
      </c>
      <c r="P17" s="52" t="str">
        <f t="shared" si="1"/>
        <v>___________</v>
      </c>
      <c r="Q17" s="52" t="str">
        <f t="shared" si="2"/>
        <v>____________</v>
      </c>
      <c r="R17" s="52" t="str">
        <f t="shared" si="3"/>
        <v/>
      </c>
      <c r="S17" s="52" t="str">
        <f t="shared" si="4"/>
        <v>____________</v>
      </c>
      <c r="T17" s="52" t="str">
        <f t="shared" si="5"/>
        <v>____________</v>
      </c>
      <c r="U17" s="52" t="str">
        <f t="shared" si="6"/>
        <v/>
      </c>
      <c r="V17" s="52" t="str">
        <f t="shared" si="7"/>
        <v>________</v>
      </c>
      <c r="W17" s="93" t="str">
        <f t="shared" si="11"/>
        <v>____________</v>
      </c>
    </row>
    <row r="18" spans="1:23" x14ac:dyDescent="0.2">
      <c r="K18" s="93" t="str">
        <f t="shared" si="8"/>
        <v/>
      </c>
      <c r="N18" s="52" t="str">
        <f t="shared" si="9"/>
        <v/>
      </c>
      <c r="O18" s="52" t="str">
        <f t="shared" si="10"/>
        <v/>
      </c>
      <c r="P18" s="52" t="str">
        <f t="shared" si="1"/>
        <v/>
      </c>
      <c r="Q18" s="52" t="str">
        <f t="shared" si="2"/>
        <v/>
      </c>
      <c r="R18" s="52" t="str">
        <f t="shared" si="3"/>
        <v/>
      </c>
      <c r="S18" s="52" t="str">
        <f t="shared" si="4"/>
        <v/>
      </c>
      <c r="T18" s="52" t="str">
        <f t="shared" si="5"/>
        <v/>
      </c>
      <c r="U18" s="52" t="str">
        <f t="shared" si="6"/>
        <v/>
      </c>
      <c r="V18" s="52" t="str">
        <f t="shared" si="7"/>
        <v/>
      </c>
      <c r="W18" s="93" t="str">
        <f t="shared" si="11"/>
        <v/>
      </c>
    </row>
    <row r="19" spans="1:23" x14ac:dyDescent="0.2">
      <c r="K19" s="93" t="str">
        <f t="shared" si="8"/>
        <v/>
      </c>
      <c r="N19" s="52" t="str">
        <f t="shared" si="9"/>
        <v/>
      </c>
      <c r="O19" s="52" t="str">
        <f t="shared" si="10"/>
        <v/>
      </c>
      <c r="P19" s="52" t="str">
        <f t="shared" si="1"/>
        <v/>
      </c>
      <c r="Q19" s="52" t="str">
        <f t="shared" si="2"/>
        <v/>
      </c>
      <c r="R19" s="52" t="str">
        <f t="shared" si="3"/>
        <v/>
      </c>
      <c r="S19" s="52" t="str">
        <f t="shared" si="4"/>
        <v/>
      </c>
      <c r="T19" s="52" t="str">
        <f t="shared" si="5"/>
        <v/>
      </c>
      <c r="U19" s="52" t="str">
        <f t="shared" si="6"/>
        <v/>
      </c>
      <c r="V19" s="52" t="str">
        <f t="shared" si="7"/>
        <v/>
      </c>
      <c r="W19" s="93" t="str">
        <f t="shared" si="11"/>
        <v/>
      </c>
    </row>
    <row r="20" spans="1:23" x14ac:dyDescent="0.2">
      <c r="A20" s="51" t="s">
        <v>22</v>
      </c>
      <c r="B20" s="51" t="s">
        <v>215</v>
      </c>
      <c r="C20" s="51">
        <v>1074</v>
      </c>
      <c r="D20" s="51">
        <v>29351</v>
      </c>
      <c r="E20" s="51" t="s">
        <v>275</v>
      </c>
      <c r="F20" s="51">
        <v>410647</v>
      </c>
      <c r="G20" s="51">
        <v>33024</v>
      </c>
      <c r="H20" s="51" t="s">
        <v>276</v>
      </c>
      <c r="J20" s="51" t="s">
        <v>277</v>
      </c>
      <c r="K20" s="93" t="str">
        <f t="shared" si="8"/>
        <v>Butane</v>
      </c>
      <c r="N20" s="52" t="str">
        <f t="shared" si="9"/>
        <v>TK-811</v>
      </c>
      <c r="O20" s="52" t="str">
        <f t="shared" si="10"/>
        <v>03 Butane</v>
      </c>
      <c r="P20" s="52">
        <f t="shared" si="1"/>
        <v>1.0740000000000001</v>
      </c>
      <c r="Q20" s="52">
        <f t="shared" si="2"/>
        <v>29.350999999999999</v>
      </c>
      <c r="R20" s="52">
        <f t="shared" si="3"/>
        <v>11.4</v>
      </c>
      <c r="S20" s="52">
        <f t="shared" si="4"/>
        <v>410.64699999999999</v>
      </c>
      <c r="T20" s="52">
        <f t="shared" si="5"/>
        <v>33.024000000000001</v>
      </c>
      <c r="U20" s="52">
        <f t="shared" si="6"/>
        <v>572.1</v>
      </c>
      <c r="V20" s="52" t="str">
        <f t="shared" si="7"/>
        <v/>
      </c>
      <c r="W20" s="93">
        <f t="shared" si="11"/>
        <v>-8.7999999999999995E-2</v>
      </c>
    </row>
    <row r="21" spans="1:23" x14ac:dyDescent="0.2">
      <c r="A21" s="51" t="s">
        <v>110</v>
      </c>
      <c r="B21" s="51" t="s">
        <v>206</v>
      </c>
      <c r="C21" s="51" t="s">
        <v>207</v>
      </c>
      <c r="D21" s="51" t="s">
        <v>110</v>
      </c>
      <c r="E21" s="51" t="s">
        <v>208</v>
      </c>
      <c r="F21" s="51" t="s">
        <v>110</v>
      </c>
      <c r="G21" s="51" t="s">
        <v>110</v>
      </c>
      <c r="H21" s="51" t="s">
        <v>209</v>
      </c>
      <c r="I21" s="51" t="s">
        <v>209</v>
      </c>
      <c r="J21" s="51" t="s">
        <v>110</v>
      </c>
      <c r="K21" s="93" t="str">
        <f t="shared" si="8"/>
        <v>_____________</v>
      </c>
      <c r="N21" s="52" t="str">
        <f t="shared" si="9"/>
        <v>____________</v>
      </c>
      <c r="O21" s="52" t="str">
        <f t="shared" si="10"/>
        <v>________________</v>
      </c>
      <c r="P21" s="52" t="str">
        <f t="shared" si="1"/>
        <v>___________</v>
      </c>
      <c r="Q21" s="52" t="str">
        <f t="shared" si="2"/>
        <v>____________</v>
      </c>
      <c r="R21" s="52" t="str">
        <f t="shared" si="3"/>
        <v/>
      </c>
      <c r="S21" s="52" t="str">
        <f t="shared" si="4"/>
        <v>____________</v>
      </c>
      <c r="T21" s="52" t="str">
        <f t="shared" si="5"/>
        <v>____________</v>
      </c>
      <c r="U21" s="52" t="str">
        <f t="shared" si="6"/>
        <v/>
      </c>
      <c r="V21" s="52" t="str">
        <f t="shared" si="7"/>
        <v>________</v>
      </c>
      <c r="W21" s="93" t="str">
        <f t="shared" si="11"/>
        <v>____________</v>
      </c>
    </row>
    <row r="22" spans="1:23" x14ac:dyDescent="0.2">
      <c r="K22" s="93" t="str">
        <f t="shared" si="8"/>
        <v/>
      </c>
      <c r="N22" s="52" t="str">
        <f t="shared" si="9"/>
        <v/>
      </c>
      <c r="O22" s="52" t="str">
        <f t="shared" si="10"/>
        <v/>
      </c>
      <c r="P22" s="52" t="str">
        <f t="shared" si="1"/>
        <v/>
      </c>
      <c r="Q22" s="52" t="str">
        <f t="shared" si="2"/>
        <v/>
      </c>
      <c r="R22" s="52" t="str">
        <f t="shared" si="3"/>
        <v/>
      </c>
      <c r="S22" s="52" t="str">
        <f t="shared" si="4"/>
        <v/>
      </c>
      <c r="T22" s="52" t="str">
        <f t="shared" si="5"/>
        <v/>
      </c>
      <c r="U22" s="52" t="str">
        <f t="shared" si="6"/>
        <v/>
      </c>
      <c r="V22" s="52" t="str">
        <f t="shared" si="7"/>
        <v/>
      </c>
      <c r="W22" s="93" t="str">
        <f t="shared" si="11"/>
        <v/>
      </c>
    </row>
    <row r="23" spans="1:23" x14ac:dyDescent="0.2">
      <c r="K23" s="93" t="str">
        <f t="shared" si="8"/>
        <v/>
      </c>
      <c r="N23" s="52" t="str">
        <f t="shared" si="9"/>
        <v/>
      </c>
      <c r="O23" s="52" t="str">
        <f t="shared" si="10"/>
        <v/>
      </c>
      <c r="P23" s="52" t="str">
        <f t="shared" si="1"/>
        <v/>
      </c>
      <c r="Q23" s="52" t="str">
        <f t="shared" si="2"/>
        <v/>
      </c>
      <c r="R23" s="52" t="str">
        <f t="shared" si="3"/>
        <v/>
      </c>
      <c r="S23" s="52" t="str">
        <f t="shared" si="4"/>
        <v/>
      </c>
      <c r="T23" s="52" t="str">
        <f t="shared" si="5"/>
        <v/>
      </c>
      <c r="U23" s="52" t="str">
        <f t="shared" si="6"/>
        <v/>
      </c>
      <c r="V23" s="52" t="str">
        <f t="shared" si="7"/>
        <v/>
      </c>
      <c r="W23" s="93" t="str">
        <f t="shared" si="11"/>
        <v/>
      </c>
    </row>
    <row r="24" spans="1:23" x14ac:dyDescent="0.2">
      <c r="A24" s="51" t="s">
        <v>23</v>
      </c>
      <c r="B24" s="51" t="s">
        <v>216</v>
      </c>
      <c r="C24" s="51">
        <v>2340</v>
      </c>
      <c r="D24" s="51">
        <v>151076</v>
      </c>
      <c r="E24" s="51" t="s">
        <v>278</v>
      </c>
      <c r="F24" s="51">
        <v>2548935</v>
      </c>
      <c r="G24" s="51">
        <v>194997</v>
      </c>
      <c r="H24" s="51" t="s">
        <v>279</v>
      </c>
      <c r="J24" s="51">
        <v>119205</v>
      </c>
      <c r="K24" s="93" t="str">
        <f t="shared" si="8"/>
        <v>LPG</v>
      </c>
      <c r="N24" s="52" t="str">
        <f t="shared" si="9"/>
        <v>TK-817</v>
      </c>
      <c r="O24" s="52" t="str">
        <f t="shared" si="10"/>
        <v>04 LPG</v>
      </c>
      <c r="P24" s="52">
        <f t="shared" si="1"/>
        <v>2.34</v>
      </c>
      <c r="Q24" s="52">
        <f t="shared" si="2"/>
        <v>151.07599999999999</v>
      </c>
      <c r="R24" s="52">
        <f t="shared" si="3"/>
        <v>18.100000000000001</v>
      </c>
      <c r="S24" s="52">
        <f t="shared" si="4"/>
        <v>2548.9349999999999</v>
      </c>
      <c r="T24" s="52">
        <f t="shared" si="5"/>
        <v>194.99700000000001</v>
      </c>
      <c r="U24" s="52">
        <f t="shared" si="6"/>
        <v>560</v>
      </c>
      <c r="V24" s="52" t="str">
        <f t="shared" si="7"/>
        <v/>
      </c>
      <c r="W24" s="93">
        <f t="shared" si="11"/>
        <v>119.205</v>
      </c>
    </row>
    <row r="25" spans="1:23" x14ac:dyDescent="0.2">
      <c r="A25" s="51" t="s">
        <v>187</v>
      </c>
      <c r="B25" s="51" t="s">
        <v>216</v>
      </c>
      <c r="C25" s="51">
        <v>7312</v>
      </c>
      <c r="D25" s="51">
        <v>1454424</v>
      </c>
      <c r="E25" s="51" t="s">
        <v>249</v>
      </c>
      <c r="F25" s="51">
        <v>1885547</v>
      </c>
      <c r="G25" s="51">
        <v>1471001</v>
      </c>
      <c r="H25" s="51" t="s">
        <v>280</v>
      </c>
      <c r="J25" s="51">
        <v>-1043184</v>
      </c>
      <c r="K25" s="93" t="str">
        <f t="shared" si="8"/>
        <v>LPG</v>
      </c>
      <c r="N25" s="52" t="str">
        <f t="shared" si="9"/>
        <v>TK-861A</v>
      </c>
      <c r="O25" s="52" t="str">
        <f t="shared" si="10"/>
        <v>04 LPG</v>
      </c>
      <c r="P25" s="52">
        <f t="shared" si="1"/>
        <v>7.3120000000000003</v>
      </c>
      <c r="Q25" s="52">
        <f t="shared" si="2"/>
        <v>1454.424</v>
      </c>
      <c r="R25" s="52">
        <f t="shared" si="3"/>
        <v>14.3</v>
      </c>
      <c r="S25" s="52">
        <f t="shared" si="4"/>
        <v>1885.547</v>
      </c>
      <c r="T25" s="52">
        <f t="shared" si="5"/>
        <v>1471.001</v>
      </c>
      <c r="U25" s="52">
        <f t="shared" si="6"/>
        <v>559.20000000000005</v>
      </c>
      <c r="V25" s="52" t="str">
        <f t="shared" si="7"/>
        <v/>
      </c>
      <c r="W25" s="93">
        <f t="shared" si="11"/>
        <v>-1043.184</v>
      </c>
    </row>
    <row r="26" spans="1:23" x14ac:dyDescent="0.2">
      <c r="A26" s="51" t="s">
        <v>110</v>
      </c>
      <c r="B26" s="51" t="s">
        <v>206</v>
      </c>
      <c r="C26" s="51" t="s">
        <v>207</v>
      </c>
      <c r="D26" s="51" t="s">
        <v>110</v>
      </c>
      <c r="E26" s="51" t="s">
        <v>208</v>
      </c>
      <c r="F26" s="51" t="s">
        <v>110</v>
      </c>
      <c r="G26" s="51" t="s">
        <v>110</v>
      </c>
      <c r="H26" s="51" t="s">
        <v>209</v>
      </c>
      <c r="I26" s="51" t="s">
        <v>209</v>
      </c>
      <c r="J26" s="51" t="s">
        <v>110</v>
      </c>
      <c r="K26" s="93" t="str">
        <f t="shared" si="8"/>
        <v>_____________</v>
      </c>
      <c r="N26" s="52" t="str">
        <f t="shared" si="9"/>
        <v>____________</v>
      </c>
      <c r="O26" s="52" t="str">
        <f t="shared" si="10"/>
        <v>________________</v>
      </c>
      <c r="P26" s="52" t="str">
        <f t="shared" si="1"/>
        <v>___________</v>
      </c>
      <c r="Q26" s="52" t="str">
        <f t="shared" si="2"/>
        <v>____________</v>
      </c>
      <c r="R26" s="52" t="str">
        <f t="shared" si="3"/>
        <v/>
      </c>
      <c r="S26" s="52" t="str">
        <f t="shared" si="4"/>
        <v>____________</v>
      </c>
      <c r="T26" s="52" t="str">
        <f t="shared" si="5"/>
        <v>____________</v>
      </c>
      <c r="U26" s="52" t="str">
        <f t="shared" si="6"/>
        <v/>
      </c>
      <c r="V26" s="52" t="str">
        <f t="shared" si="7"/>
        <v>________</v>
      </c>
      <c r="W26" s="93" t="str">
        <f t="shared" si="11"/>
        <v>____________</v>
      </c>
    </row>
    <row r="27" spans="1:23" x14ac:dyDescent="0.2">
      <c r="K27" s="93" t="str">
        <f t="shared" si="8"/>
        <v/>
      </c>
      <c r="N27" s="52" t="str">
        <f t="shared" si="9"/>
        <v/>
      </c>
      <c r="O27" s="52" t="str">
        <f t="shared" si="10"/>
        <v/>
      </c>
      <c r="P27" s="52" t="str">
        <f t="shared" si="1"/>
        <v/>
      </c>
      <c r="Q27" s="52" t="str">
        <f t="shared" si="2"/>
        <v/>
      </c>
      <c r="R27" s="52" t="str">
        <f t="shared" si="3"/>
        <v/>
      </c>
      <c r="S27" s="52" t="str">
        <f t="shared" si="4"/>
        <v/>
      </c>
      <c r="T27" s="52" t="str">
        <f t="shared" si="5"/>
        <v/>
      </c>
      <c r="U27" s="52" t="str">
        <f t="shared" si="6"/>
        <v/>
      </c>
      <c r="V27" s="52" t="str">
        <f t="shared" si="7"/>
        <v/>
      </c>
      <c r="W27" s="93" t="str">
        <f t="shared" si="11"/>
        <v/>
      </c>
    </row>
    <row r="28" spans="1:23" x14ac:dyDescent="0.2">
      <c r="K28" s="93" t="str">
        <f t="shared" si="8"/>
        <v/>
      </c>
      <c r="N28" s="52" t="str">
        <f t="shared" si="9"/>
        <v/>
      </c>
      <c r="O28" s="52" t="str">
        <f t="shared" si="10"/>
        <v/>
      </c>
      <c r="P28" s="52" t="str">
        <f t="shared" si="1"/>
        <v/>
      </c>
      <c r="Q28" s="52" t="str">
        <f t="shared" si="2"/>
        <v/>
      </c>
      <c r="R28" s="52" t="str">
        <f t="shared" si="3"/>
        <v/>
      </c>
      <c r="S28" s="52" t="str">
        <f t="shared" si="4"/>
        <v/>
      </c>
      <c r="T28" s="52" t="str">
        <f t="shared" si="5"/>
        <v/>
      </c>
      <c r="U28" s="52" t="str">
        <f t="shared" si="6"/>
        <v/>
      </c>
      <c r="V28" s="52" t="str">
        <f t="shared" si="7"/>
        <v/>
      </c>
      <c r="W28" s="93" t="str">
        <f t="shared" si="11"/>
        <v/>
      </c>
    </row>
    <row r="29" spans="1:23" x14ac:dyDescent="0.2">
      <c r="A29" s="51" t="s">
        <v>27</v>
      </c>
      <c r="B29" s="51" t="s">
        <v>217</v>
      </c>
      <c r="C29" s="51">
        <v>10321</v>
      </c>
      <c r="D29" s="51">
        <v>3687992</v>
      </c>
      <c r="E29" s="51" t="s">
        <v>281</v>
      </c>
      <c r="F29" s="51">
        <v>731484</v>
      </c>
      <c r="G29" s="51">
        <v>3701638</v>
      </c>
      <c r="H29" s="51" t="s">
        <v>282</v>
      </c>
      <c r="I29" s="51" t="s">
        <v>246</v>
      </c>
      <c r="J29" s="51">
        <v>-184962</v>
      </c>
      <c r="K29" s="93" t="str">
        <f t="shared" si="8"/>
        <v>Naptha</v>
      </c>
      <c r="N29" s="52" t="str">
        <f t="shared" si="9"/>
        <v>TK-1102</v>
      </c>
      <c r="O29" s="52" t="str">
        <f t="shared" si="10"/>
        <v>05 Naptha</v>
      </c>
      <c r="P29" s="52">
        <f t="shared" si="1"/>
        <v>10.321</v>
      </c>
      <c r="Q29" s="52">
        <f t="shared" si="2"/>
        <v>3687.9920000000002</v>
      </c>
      <c r="R29" s="52">
        <f t="shared" si="3"/>
        <v>12</v>
      </c>
      <c r="S29" s="52">
        <f t="shared" si="4"/>
        <v>731.48400000000004</v>
      </c>
      <c r="T29" s="52">
        <f t="shared" si="5"/>
        <v>3701.6379999999999</v>
      </c>
      <c r="U29" s="52">
        <f t="shared" si="6"/>
        <v>705.7</v>
      </c>
      <c r="V29" s="52" t="str">
        <f t="shared" si="7"/>
        <v>CFail</v>
      </c>
      <c r="W29" s="93">
        <f t="shared" si="11"/>
        <v>-184.96199999999999</v>
      </c>
    </row>
    <row r="30" spans="1:23" x14ac:dyDescent="0.2">
      <c r="A30" s="51" t="s">
        <v>83</v>
      </c>
      <c r="B30" s="51" t="s">
        <v>217</v>
      </c>
      <c r="C30" s="51">
        <v>4895</v>
      </c>
      <c r="D30" s="51">
        <v>2716576</v>
      </c>
      <c r="E30" s="51" t="s">
        <v>283</v>
      </c>
      <c r="F30" s="51">
        <v>4133390</v>
      </c>
      <c r="G30" s="51">
        <v>2763844</v>
      </c>
      <c r="H30" s="51" t="s">
        <v>284</v>
      </c>
      <c r="J30" s="51">
        <v>16455</v>
      </c>
      <c r="K30" s="93" t="str">
        <f t="shared" si="8"/>
        <v>Naptha</v>
      </c>
      <c r="N30" s="52" t="str">
        <f t="shared" si="9"/>
        <v>TK-1103</v>
      </c>
      <c r="O30" s="52" t="str">
        <f t="shared" si="10"/>
        <v>05 Naptha</v>
      </c>
      <c r="P30" s="52">
        <f t="shared" si="1"/>
        <v>4.8949999999999996</v>
      </c>
      <c r="Q30" s="52">
        <f t="shared" si="2"/>
        <v>2716.576</v>
      </c>
      <c r="R30" s="52">
        <f t="shared" si="3"/>
        <v>1.7</v>
      </c>
      <c r="S30" s="52">
        <f t="shared" si="4"/>
        <v>4133.3900000000003</v>
      </c>
      <c r="T30" s="52">
        <f t="shared" si="5"/>
        <v>2763.8440000000001</v>
      </c>
      <c r="U30" s="52">
        <f t="shared" si="6"/>
        <v>707</v>
      </c>
      <c r="V30" s="52" t="str">
        <f t="shared" si="7"/>
        <v/>
      </c>
      <c r="W30" s="93">
        <f t="shared" si="11"/>
        <v>16.454999999999998</v>
      </c>
    </row>
    <row r="31" spans="1:23" x14ac:dyDescent="0.2">
      <c r="A31" s="51" t="s">
        <v>110</v>
      </c>
      <c r="B31" s="51" t="s">
        <v>206</v>
      </c>
      <c r="C31" s="51" t="s">
        <v>207</v>
      </c>
      <c r="D31" s="51" t="s">
        <v>110</v>
      </c>
      <c r="E31" s="51" t="s">
        <v>208</v>
      </c>
      <c r="F31" s="51" t="s">
        <v>110</v>
      </c>
      <c r="G31" s="51" t="s">
        <v>110</v>
      </c>
      <c r="H31" s="51" t="s">
        <v>209</v>
      </c>
      <c r="I31" s="51" t="s">
        <v>209</v>
      </c>
      <c r="J31" s="51" t="s">
        <v>110</v>
      </c>
      <c r="K31" s="93" t="str">
        <f t="shared" si="8"/>
        <v>_____________</v>
      </c>
      <c r="N31" s="52" t="str">
        <f t="shared" si="9"/>
        <v>____________</v>
      </c>
      <c r="O31" s="52" t="str">
        <f t="shared" si="10"/>
        <v>________________</v>
      </c>
      <c r="P31" s="52" t="str">
        <f t="shared" si="1"/>
        <v>___________</v>
      </c>
      <c r="Q31" s="52" t="str">
        <f t="shared" si="2"/>
        <v>____________</v>
      </c>
      <c r="R31" s="52" t="str">
        <f t="shared" si="3"/>
        <v/>
      </c>
      <c r="S31" s="52" t="str">
        <f t="shared" si="4"/>
        <v>____________</v>
      </c>
      <c r="T31" s="52" t="str">
        <f t="shared" si="5"/>
        <v>____________</v>
      </c>
      <c r="U31" s="52" t="str">
        <f t="shared" si="6"/>
        <v/>
      </c>
      <c r="V31" s="52" t="str">
        <f t="shared" si="7"/>
        <v>________</v>
      </c>
      <c r="W31" s="93" t="str">
        <f t="shared" si="11"/>
        <v>____________</v>
      </c>
    </row>
    <row r="32" spans="1:23" x14ac:dyDescent="0.2">
      <c r="K32" s="93" t="str">
        <f t="shared" si="8"/>
        <v/>
      </c>
      <c r="N32" s="52" t="str">
        <f t="shared" si="9"/>
        <v/>
      </c>
      <c r="O32" s="52" t="str">
        <f t="shared" si="10"/>
        <v/>
      </c>
      <c r="P32" s="52" t="str">
        <f t="shared" si="1"/>
        <v/>
      </c>
      <c r="Q32" s="52" t="str">
        <f t="shared" si="2"/>
        <v/>
      </c>
      <c r="R32" s="52" t="str">
        <f t="shared" si="3"/>
        <v/>
      </c>
      <c r="S32" s="52" t="str">
        <f t="shared" si="4"/>
        <v/>
      </c>
      <c r="T32" s="52" t="str">
        <f t="shared" si="5"/>
        <v/>
      </c>
      <c r="U32" s="52" t="str">
        <f t="shared" si="6"/>
        <v/>
      </c>
      <c r="V32" s="52" t="str">
        <f t="shared" si="7"/>
        <v/>
      </c>
      <c r="W32" s="93" t="str">
        <f t="shared" si="11"/>
        <v/>
      </c>
    </row>
    <row r="33" spans="1:23" x14ac:dyDescent="0.2">
      <c r="K33" s="93" t="str">
        <f t="shared" si="8"/>
        <v/>
      </c>
      <c r="N33" s="52" t="str">
        <f t="shared" si="9"/>
        <v/>
      </c>
      <c r="O33" s="52" t="str">
        <f t="shared" si="10"/>
        <v/>
      </c>
      <c r="P33" s="52" t="str">
        <f t="shared" si="1"/>
        <v/>
      </c>
      <c r="Q33" s="52" t="str">
        <f t="shared" si="2"/>
        <v/>
      </c>
      <c r="R33" s="52" t="str">
        <f t="shared" si="3"/>
        <v/>
      </c>
      <c r="S33" s="52" t="str">
        <f t="shared" si="4"/>
        <v/>
      </c>
      <c r="T33" s="52" t="str">
        <f t="shared" si="5"/>
        <v/>
      </c>
      <c r="U33" s="52" t="str">
        <f t="shared" si="6"/>
        <v/>
      </c>
      <c r="V33" s="52" t="str">
        <f t="shared" si="7"/>
        <v/>
      </c>
      <c r="W33" s="93" t="str">
        <f t="shared" si="11"/>
        <v/>
      </c>
    </row>
    <row r="34" spans="1:23" x14ac:dyDescent="0.2">
      <c r="A34" s="51" t="s">
        <v>28</v>
      </c>
      <c r="B34" s="51" t="s">
        <v>218</v>
      </c>
      <c r="C34" s="51">
        <v>6161</v>
      </c>
      <c r="D34" s="51">
        <v>848136</v>
      </c>
      <c r="E34" s="51" t="s">
        <v>241</v>
      </c>
      <c r="F34" s="51">
        <v>824442</v>
      </c>
      <c r="G34" s="51">
        <v>841309</v>
      </c>
      <c r="H34" s="51" t="s">
        <v>285</v>
      </c>
      <c r="I34" s="51" t="s">
        <v>246</v>
      </c>
      <c r="J34" s="51">
        <v>-4610</v>
      </c>
      <c r="K34" s="93" t="str">
        <f t="shared" si="8"/>
        <v>Hexane</v>
      </c>
      <c r="N34" s="52" t="str">
        <f t="shared" si="9"/>
        <v>TK-1104</v>
      </c>
      <c r="O34" s="52" t="str">
        <f t="shared" si="10"/>
        <v>06 Hexane</v>
      </c>
      <c r="P34" s="52">
        <f t="shared" si="1"/>
        <v>6.1609999999999996</v>
      </c>
      <c r="Q34" s="52">
        <f t="shared" si="2"/>
        <v>848.13599999999997</v>
      </c>
      <c r="R34" s="52">
        <f t="shared" si="3"/>
        <v>11.8</v>
      </c>
      <c r="S34" s="52">
        <f t="shared" si="4"/>
        <v>824.44200000000001</v>
      </c>
      <c r="T34" s="52">
        <f t="shared" si="5"/>
        <v>841.30899999999997</v>
      </c>
      <c r="U34" s="52">
        <f t="shared" si="6"/>
        <v>673.3</v>
      </c>
      <c r="V34" s="52" t="str">
        <f t="shared" si="7"/>
        <v>CFail</v>
      </c>
      <c r="W34" s="93">
        <f t="shared" si="11"/>
        <v>-4.6100000000000003</v>
      </c>
    </row>
    <row r="35" spans="1:23" x14ac:dyDescent="0.2">
      <c r="A35" s="51" t="s">
        <v>110</v>
      </c>
      <c r="B35" s="51" t="s">
        <v>206</v>
      </c>
      <c r="C35" s="51" t="s">
        <v>207</v>
      </c>
      <c r="D35" s="51" t="s">
        <v>110</v>
      </c>
      <c r="E35" s="51" t="s">
        <v>208</v>
      </c>
      <c r="F35" s="51" t="s">
        <v>110</v>
      </c>
      <c r="G35" s="51" t="s">
        <v>110</v>
      </c>
      <c r="H35" s="51" t="s">
        <v>209</v>
      </c>
      <c r="I35" s="51" t="s">
        <v>209</v>
      </c>
      <c r="J35" s="51" t="s">
        <v>110</v>
      </c>
      <c r="K35" s="93" t="str">
        <f t="shared" si="8"/>
        <v>_____________</v>
      </c>
      <c r="N35" s="52" t="str">
        <f t="shared" si="9"/>
        <v>____________</v>
      </c>
      <c r="O35" s="52" t="str">
        <f t="shared" si="10"/>
        <v>________________</v>
      </c>
      <c r="P35" s="52" t="str">
        <f t="shared" si="1"/>
        <v>___________</v>
      </c>
      <c r="Q35" s="52" t="str">
        <f t="shared" si="2"/>
        <v>____________</v>
      </c>
      <c r="R35" s="52" t="str">
        <f t="shared" ref="R35:R66" si="12">IF(ISNUMBER(VALUE(SUBSTITUTE(E35,".",","))),VALUE(SUBSTITUTE(E35,".",",")),"")</f>
        <v/>
      </c>
      <c r="S35" s="52" t="str">
        <f t="shared" ref="S35:S66" si="13">IF(ISTEXT(F35),F35,IF(F35&gt;0,F35/1000,""))</f>
        <v>____________</v>
      </c>
      <c r="T35" s="52" t="str">
        <f t="shared" ref="T35:T66" si="14">IF(ISTEXT(G35),G35,IF(G35&gt;0,G35/1000,""))</f>
        <v>____________</v>
      </c>
      <c r="U35" s="52" t="str">
        <f t="shared" ref="U35:U66" si="15">IF(ISNUMBER(VALUE(SUBSTITUTE(H35,".",","))),VALUE(SUBSTITUTE(H35,".",",")),"")</f>
        <v/>
      </c>
      <c r="V35" s="52" t="str">
        <f t="shared" ref="V35:V66" si="16">IF(ISTEXT(I35),I35,"")</f>
        <v>________</v>
      </c>
      <c r="W35" s="93" t="str">
        <f t="shared" si="11"/>
        <v>____________</v>
      </c>
    </row>
    <row r="36" spans="1:23" x14ac:dyDescent="0.2">
      <c r="K36" s="93" t="str">
        <f t="shared" si="8"/>
        <v/>
      </c>
      <c r="N36" s="52" t="str">
        <f t="shared" si="9"/>
        <v/>
      </c>
      <c r="O36" s="52" t="str">
        <f t="shared" si="10"/>
        <v/>
      </c>
      <c r="P36" s="52" t="str">
        <f t="shared" si="1"/>
        <v/>
      </c>
      <c r="Q36" s="52" t="str">
        <f t="shared" si="2"/>
        <v/>
      </c>
      <c r="R36" s="52" t="str">
        <f t="shared" si="12"/>
        <v/>
      </c>
      <c r="S36" s="52" t="str">
        <f t="shared" si="13"/>
        <v/>
      </c>
      <c r="T36" s="52" t="str">
        <f t="shared" si="14"/>
        <v/>
      </c>
      <c r="U36" s="52" t="str">
        <f t="shared" si="15"/>
        <v/>
      </c>
      <c r="V36" s="52" t="str">
        <f t="shared" si="16"/>
        <v/>
      </c>
      <c r="W36" s="93" t="str">
        <f t="shared" si="11"/>
        <v/>
      </c>
    </row>
    <row r="37" spans="1:23" x14ac:dyDescent="0.2">
      <c r="K37" s="93" t="str">
        <f t="shared" si="8"/>
        <v/>
      </c>
      <c r="N37" s="52" t="str">
        <f t="shared" si="9"/>
        <v/>
      </c>
      <c r="O37" s="52" t="str">
        <f t="shared" si="10"/>
        <v/>
      </c>
      <c r="P37" s="52" t="str">
        <f t="shared" si="1"/>
        <v/>
      </c>
      <c r="Q37" s="52" t="str">
        <f t="shared" si="2"/>
        <v/>
      </c>
      <c r="R37" s="52" t="str">
        <f t="shared" si="12"/>
        <v/>
      </c>
      <c r="S37" s="52" t="str">
        <f t="shared" si="13"/>
        <v/>
      </c>
      <c r="T37" s="52" t="str">
        <f t="shared" si="14"/>
        <v/>
      </c>
      <c r="U37" s="52" t="str">
        <f t="shared" si="15"/>
        <v/>
      </c>
      <c r="V37" s="52" t="str">
        <f t="shared" si="16"/>
        <v/>
      </c>
      <c r="W37" s="93" t="str">
        <f t="shared" si="11"/>
        <v/>
      </c>
    </row>
    <row r="38" spans="1:23" x14ac:dyDescent="0.2">
      <c r="A38" s="51" t="s">
        <v>38</v>
      </c>
      <c r="B38" s="51" t="s">
        <v>219</v>
      </c>
      <c r="C38" s="51">
        <v>11440</v>
      </c>
      <c r="D38" s="51">
        <v>8959784</v>
      </c>
      <c r="E38" s="51" t="s">
        <v>243</v>
      </c>
      <c r="F38" s="51">
        <v>1756829</v>
      </c>
      <c r="G38" s="51">
        <v>8965160</v>
      </c>
      <c r="H38" s="51" t="s">
        <v>286</v>
      </c>
      <c r="J38" s="51">
        <v>4000</v>
      </c>
      <c r="K38" s="93" t="str">
        <f t="shared" si="8"/>
        <v>M.T.B.E</v>
      </c>
      <c r="N38" s="52" t="str">
        <f t="shared" si="9"/>
        <v>TK-1075</v>
      </c>
      <c r="O38" s="52" t="str">
        <f t="shared" si="10"/>
        <v>08 M.T.B.E</v>
      </c>
      <c r="P38" s="52">
        <f t="shared" si="1"/>
        <v>11.44</v>
      </c>
      <c r="Q38" s="52">
        <f t="shared" si="2"/>
        <v>8959.7839999999997</v>
      </c>
      <c r="R38" s="52">
        <f t="shared" si="12"/>
        <v>14.5</v>
      </c>
      <c r="S38" s="52">
        <f t="shared" si="13"/>
        <v>1756.829</v>
      </c>
      <c r="T38" s="52">
        <f t="shared" si="14"/>
        <v>8965.16</v>
      </c>
      <c r="U38" s="52">
        <f t="shared" si="15"/>
        <v>746.1</v>
      </c>
      <c r="V38" s="52" t="str">
        <f t="shared" si="16"/>
        <v/>
      </c>
      <c r="W38" s="93">
        <f t="shared" si="11"/>
        <v>4</v>
      </c>
    </row>
    <row r="39" spans="1:23" x14ac:dyDescent="0.2">
      <c r="A39" s="51" t="s">
        <v>110</v>
      </c>
      <c r="B39" s="51" t="s">
        <v>206</v>
      </c>
      <c r="C39" s="51" t="s">
        <v>207</v>
      </c>
      <c r="D39" s="51" t="s">
        <v>110</v>
      </c>
      <c r="E39" s="51" t="s">
        <v>208</v>
      </c>
      <c r="F39" s="51" t="s">
        <v>110</v>
      </c>
      <c r="G39" s="51" t="s">
        <v>110</v>
      </c>
      <c r="H39" s="51" t="s">
        <v>209</v>
      </c>
      <c r="I39" s="51" t="s">
        <v>209</v>
      </c>
      <c r="J39" s="51" t="s">
        <v>110</v>
      </c>
      <c r="K39" s="93" t="str">
        <f t="shared" si="8"/>
        <v>_____________</v>
      </c>
      <c r="N39" s="52" t="str">
        <f t="shared" si="9"/>
        <v>____________</v>
      </c>
      <c r="O39" s="52" t="str">
        <f t="shared" si="10"/>
        <v>________________</v>
      </c>
      <c r="P39" s="52" t="str">
        <f t="shared" si="1"/>
        <v>___________</v>
      </c>
      <c r="Q39" s="52" t="str">
        <f t="shared" si="2"/>
        <v>____________</v>
      </c>
      <c r="R39" s="52" t="str">
        <f t="shared" si="12"/>
        <v/>
      </c>
      <c r="S39" s="52" t="str">
        <f t="shared" si="13"/>
        <v>____________</v>
      </c>
      <c r="T39" s="52" t="str">
        <f t="shared" si="14"/>
        <v>____________</v>
      </c>
      <c r="U39" s="52" t="str">
        <f t="shared" si="15"/>
        <v/>
      </c>
      <c r="V39" s="52" t="str">
        <f t="shared" si="16"/>
        <v>________</v>
      </c>
      <c r="W39" s="93" t="str">
        <f t="shared" si="11"/>
        <v>____________</v>
      </c>
    </row>
    <row r="40" spans="1:23" x14ac:dyDescent="0.2">
      <c r="K40" s="93" t="str">
        <f t="shared" si="8"/>
        <v/>
      </c>
      <c r="N40" s="52" t="str">
        <f t="shared" si="9"/>
        <v/>
      </c>
      <c r="O40" s="52" t="str">
        <f t="shared" si="10"/>
        <v/>
      </c>
      <c r="P40" s="52" t="str">
        <f t="shared" si="1"/>
        <v/>
      </c>
      <c r="Q40" s="52" t="str">
        <f t="shared" si="2"/>
        <v/>
      </c>
      <c r="R40" s="52" t="str">
        <f t="shared" si="12"/>
        <v/>
      </c>
      <c r="S40" s="52" t="str">
        <f t="shared" si="13"/>
        <v/>
      </c>
      <c r="T40" s="52" t="str">
        <f t="shared" si="14"/>
        <v/>
      </c>
      <c r="U40" s="52" t="str">
        <f t="shared" si="15"/>
        <v/>
      </c>
      <c r="V40" s="52" t="str">
        <f t="shared" si="16"/>
        <v/>
      </c>
      <c r="W40" s="93" t="str">
        <f t="shared" si="11"/>
        <v/>
      </c>
    </row>
    <row r="41" spans="1:23" x14ac:dyDescent="0.2">
      <c r="K41" s="93" t="str">
        <f t="shared" si="8"/>
        <v/>
      </c>
      <c r="N41" s="52" t="str">
        <f t="shared" si="9"/>
        <v/>
      </c>
      <c r="O41" s="52" t="str">
        <f t="shared" si="10"/>
        <v/>
      </c>
      <c r="P41" s="52" t="str">
        <f t="shared" si="1"/>
        <v/>
      </c>
      <c r="Q41" s="52" t="str">
        <f t="shared" si="2"/>
        <v/>
      </c>
      <c r="R41" s="52" t="str">
        <f t="shared" si="12"/>
        <v/>
      </c>
      <c r="S41" s="52" t="str">
        <f t="shared" si="13"/>
        <v/>
      </c>
      <c r="T41" s="52" t="str">
        <f t="shared" si="14"/>
        <v/>
      </c>
      <c r="U41" s="52" t="str">
        <f t="shared" si="15"/>
        <v/>
      </c>
      <c r="V41" s="52" t="str">
        <f t="shared" si="16"/>
        <v/>
      </c>
      <c r="W41" s="93" t="str">
        <f t="shared" si="11"/>
        <v/>
      </c>
    </row>
    <row r="42" spans="1:23" x14ac:dyDescent="0.2">
      <c r="A42" s="51" t="s">
        <v>42</v>
      </c>
      <c r="B42" s="51" t="s">
        <v>220</v>
      </c>
      <c r="C42" s="51">
        <v>1466</v>
      </c>
      <c r="D42" s="51">
        <v>691704</v>
      </c>
      <c r="E42" s="51" t="s">
        <v>287</v>
      </c>
      <c r="F42" s="51">
        <v>5435296</v>
      </c>
      <c r="G42" s="51">
        <v>687367</v>
      </c>
      <c r="H42" s="51" t="s">
        <v>288</v>
      </c>
      <c r="J42" s="51">
        <v>268825</v>
      </c>
      <c r="K42" s="93" t="str">
        <f t="shared" si="8"/>
        <v>Unleaded 95</v>
      </c>
      <c r="N42" s="52" t="str">
        <f t="shared" si="9"/>
        <v>TK-814</v>
      </c>
      <c r="O42" s="52" t="str">
        <f t="shared" si="10"/>
        <v>08 Unleaded 95</v>
      </c>
      <c r="P42" s="52">
        <f t="shared" si="1"/>
        <v>1.466</v>
      </c>
      <c r="Q42" s="52">
        <f t="shared" si="2"/>
        <v>691.70399999999995</v>
      </c>
      <c r="R42" s="52">
        <f t="shared" si="12"/>
        <v>20.100000000000001</v>
      </c>
      <c r="S42" s="52">
        <f t="shared" si="13"/>
        <v>5435.2960000000003</v>
      </c>
      <c r="T42" s="52">
        <f t="shared" si="14"/>
        <v>687.36699999999996</v>
      </c>
      <c r="U42" s="52">
        <f t="shared" si="15"/>
        <v>739.1</v>
      </c>
      <c r="V42" s="52" t="str">
        <f t="shared" si="16"/>
        <v/>
      </c>
      <c r="W42" s="93">
        <f t="shared" si="11"/>
        <v>268.82499999999999</v>
      </c>
    </row>
    <row r="43" spans="1:23" x14ac:dyDescent="0.2">
      <c r="A43" s="51" t="s">
        <v>44</v>
      </c>
      <c r="B43" s="51" t="s">
        <v>220</v>
      </c>
      <c r="C43" s="51">
        <v>6331</v>
      </c>
      <c r="D43" s="51">
        <v>2918150</v>
      </c>
      <c r="E43" s="51" t="s">
        <v>289</v>
      </c>
      <c r="F43" s="51">
        <v>3220260</v>
      </c>
      <c r="G43" s="51">
        <v>2879339</v>
      </c>
      <c r="H43" s="51" t="s">
        <v>290</v>
      </c>
      <c r="J43" s="51">
        <v>-364332</v>
      </c>
      <c r="K43" s="93" t="str">
        <f t="shared" si="8"/>
        <v>Unleaded 95</v>
      </c>
      <c r="N43" s="52" t="str">
        <f t="shared" si="9"/>
        <v>TK-815</v>
      </c>
      <c r="O43" s="52" t="str">
        <f t="shared" si="10"/>
        <v>08 Unleaded 95</v>
      </c>
      <c r="P43" s="52">
        <f t="shared" si="1"/>
        <v>6.3310000000000004</v>
      </c>
      <c r="Q43" s="52">
        <f t="shared" si="2"/>
        <v>2918.15</v>
      </c>
      <c r="R43" s="52">
        <f t="shared" si="12"/>
        <v>11.7</v>
      </c>
      <c r="S43" s="52">
        <f t="shared" si="13"/>
        <v>3220.26</v>
      </c>
      <c r="T43" s="52">
        <f t="shared" si="14"/>
        <v>2879.3389999999999</v>
      </c>
      <c r="U43" s="52">
        <f t="shared" si="15"/>
        <v>739.8</v>
      </c>
      <c r="V43" s="52" t="str">
        <f t="shared" si="16"/>
        <v/>
      </c>
      <c r="W43" s="93">
        <f t="shared" si="11"/>
        <v>-364.33199999999999</v>
      </c>
    </row>
    <row r="44" spans="1:23" x14ac:dyDescent="0.2">
      <c r="A44" s="51" t="s">
        <v>32</v>
      </c>
      <c r="B44" s="51" t="s">
        <v>220</v>
      </c>
      <c r="C44" s="51">
        <v>2546</v>
      </c>
      <c r="D44" s="51">
        <v>3618974</v>
      </c>
      <c r="E44" s="51" t="s">
        <v>291</v>
      </c>
      <c r="F44" s="51">
        <v>14620437</v>
      </c>
      <c r="G44" s="51">
        <v>3620060</v>
      </c>
      <c r="H44" s="51" t="s">
        <v>292</v>
      </c>
      <c r="J44" s="51">
        <v>1220759</v>
      </c>
      <c r="K44" s="93" t="str">
        <f t="shared" si="8"/>
        <v>Unleaded 95</v>
      </c>
      <c r="N44" s="52" t="str">
        <f t="shared" si="9"/>
        <v>TK-847</v>
      </c>
      <c r="O44" s="52" t="str">
        <f t="shared" si="10"/>
        <v>08 Unleaded 95</v>
      </c>
      <c r="P44" s="52">
        <f t="shared" si="1"/>
        <v>2.5459999999999998</v>
      </c>
      <c r="Q44" s="52">
        <f t="shared" si="2"/>
        <v>3618.9740000000002</v>
      </c>
      <c r="R44" s="52">
        <f t="shared" si="12"/>
        <v>14.7</v>
      </c>
      <c r="S44" s="52">
        <f t="shared" si="13"/>
        <v>14620.437</v>
      </c>
      <c r="T44" s="52">
        <f t="shared" si="14"/>
        <v>3620.06</v>
      </c>
      <c r="U44" s="52">
        <f t="shared" si="15"/>
        <v>747</v>
      </c>
      <c r="V44" s="52" t="str">
        <f t="shared" si="16"/>
        <v/>
      </c>
      <c r="W44" s="93">
        <f t="shared" si="11"/>
        <v>1220.759</v>
      </c>
    </row>
    <row r="45" spans="1:23" x14ac:dyDescent="0.2">
      <c r="A45" s="51" t="s">
        <v>35</v>
      </c>
      <c r="B45" s="51" t="s">
        <v>220</v>
      </c>
      <c r="C45" s="51">
        <v>3278</v>
      </c>
      <c r="D45" s="51">
        <v>5516618</v>
      </c>
      <c r="E45" s="51" t="s">
        <v>293</v>
      </c>
      <c r="F45" s="51">
        <v>17887305</v>
      </c>
      <c r="G45" s="51">
        <v>5542546</v>
      </c>
      <c r="H45" s="51" t="s">
        <v>294</v>
      </c>
      <c r="J45" s="51">
        <v>-263560</v>
      </c>
      <c r="K45" s="93" t="str">
        <f t="shared" si="8"/>
        <v>Unleaded 95</v>
      </c>
      <c r="N45" s="52" t="str">
        <f t="shared" si="9"/>
        <v>TK-858</v>
      </c>
      <c r="O45" s="52" t="str">
        <f t="shared" si="10"/>
        <v>08 Unleaded 95</v>
      </c>
      <c r="P45" s="52">
        <f t="shared" si="1"/>
        <v>3.278</v>
      </c>
      <c r="Q45" s="52">
        <f t="shared" si="2"/>
        <v>5516.6180000000004</v>
      </c>
      <c r="R45" s="52">
        <f t="shared" si="12"/>
        <v>17.399999999999999</v>
      </c>
      <c r="S45" s="52">
        <f t="shared" si="13"/>
        <v>17887.305</v>
      </c>
      <c r="T45" s="52">
        <f t="shared" si="14"/>
        <v>5542.5460000000003</v>
      </c>
      <c r="U45" s="52">
        <f t="shared" si="15"/>
        <v>734.5</v>
      </c>
      <c r="V45" s="52" t="str">
        <f t="shared" si="16"/>
        <v/>
      </c>
      <c r="W45" s="93">
        <f t="shared" si="11"/>
        <v>-263.56</v>
      </c>
    </row>
    <row r="46" spans="1:23" x14ac:dyDescent="0.2">
      <c r="A46" s="51" t="s">
        <v>37</v>
      </c>
      <c r="B46" s="51" t="s">
        <v>220</v>
      </c>
      <c r="C46" s="51">
        <v>4342</v>
      </c>
      <c r="D46" s="51">
        <v>606017</v>
      </c>
      <c r="E46" s="51" t="s">
        <v>248</v>
      </c>
      <c r="F46" s="51">
        <v>913546</v>
      </c>
      <c r="G46" s="51">
        <v>603169</v>
      </c>
      <c r="H46" s="51" t="s">
        <v>295</v>
      </c>
      <c r="J46" s="51">
        <v>1004</v>
      </c>
      <c r="K46" s="93" t="str">
        <f t="shared" si="8"/>
        <v>Unleaded 95</v>
      </c>
      <c r="N46" s="52" t="str">
        <f t="shared" si="9"/>
        <v>TK-1072</v>
      </c>
      <c r="O46" s="52" t="str">
        <f t="shared" si="10"/>
        <v>08 Unleaded 95</v>
      </c>
      <c r="P46" s="52">
        <f t="shared" si="1"/>
        <v>4.3419999999999996</v>
      </c>
      <c r="Q46" s="52">
        <f t="shared" si="2"/>
        <v>606.01700000000005</v>
      </c>
      <c r="R46" s="52">
        <f t="shared" si="12"/>
        <v>12.3</v>
      </c>
      <c r="S46" s="52">
        <f t="shared" si="13"/>
        <v>913.54600000000005</v>
      </c>
      <c r="T46" s="52">
        <f t="shared" si="14"/>
        <v>603.16899999999998</v>
      </c>
      <c r="U46" s="52">
        <f t="shared" si="15"/>
        <v>742.9</v>
      </c>
      <c r="V46" s="52" t="str">
        <f t="shared" si="16"/>
        <v/>
      </c>
      <c r="W46" s="93">
        <f t="shared" si="11"/>
        <v>1.004</v>
      </c>
    </row>
    <row r="47" spans="1:23" x14ac:dyDescent="0.2">
      <c r="A47" s="51" t="s">
        <v>40</v>
      </c>
      <c r="B47" s="51" t="s">
        <v>220</v>
      </c>
      <c r="C47" s="51">
        <v>2056</v>
      </c>
      <c r="D47" s="51">
        <v>336244</v>
      </c>
      <c r="E47" s="51" t="s">
        <v>296</v>
      </c>
      <c r="F47" s="51">
        <v>1473425</v>
      </c>
      <c r="G47" s="51">
        <v>334284</v>
      </c>
      <c r="H47" s="51" t="s">
        <v>297</v>
      </c>
      <c r="J47" s="51">
        <v>190180</v>
      </c>
      <c r="K47" s="93" t="str">
        <f t="shared" si="8"/>
        <v>Unleaded 95</v>
      </c>
      <c r="N47" s="52" t="str">
        <f t="shared" si="9"/>
        <v>TK-1073</v>
      </c>
      <c r="O47" s="52" t="str">
        <f t="shared" si="10"/>
        <v>08 Unleaded 95</v>
      </c>
      <c r="P47" s="52">
        <f t="shared" si="1"/>
        <v>2.056</v>
      </c>
      <c r="Q47" s="52">
        <f t="shared" si="2"/>
        <v>336.24400000000003</v>
      </c>
      <c r="R47" s="52">
        <f t="shared" si="12"/>
        <v>15.6</v>
      </c>
      <c r="S47" s="52">
        <f t="shared" si="13"/>
        <v>1473.425</v>
      </c>
      <c r="T47" s="52">
        <f t="shared" si="14"/>
        <v>334.28399999999999</v>
      </c>
      <c r="U47" s="52">
        <f t="shared" si="15"/>
        <v>741.6</v>
      </c>
      <c r="V47" s="52" t="str">
        <f t="shared" si="16"/>
        <v/>
      </c>
      <c r="W47" s="93">
        <f t="shared" si="11"/>
        <v>190.18</v>
      </c>
    </row>
    <row r="48" spans="1:23" x14ac:dyDescent="0.2">
      <c r="A48" s="51" t="s">
        <v>110</v>
      </c>
      <c r="B48" s="51" t="s">
        <v>206</v>
      </c>
      <c r="C48" s="51" t="s">
        <v>207</v>
      </c>
      <c r="D48" s="51" t="s">
        <v>110</v>
      </c>
      <c r="E48" s="51" t="s">
        <v>208</v>
      </c>
      <c r="F48" s="51" t="s">
        <v>110</v>
      </c>
      <c r="G48" s="51" t="s">
        <v>110</v>
      </c>
      <c r="H48" s="51" t="s">
        <v>209</v>
      </c>
      <c r="I48" s="51" t="s">
        <v>209</v>
      </c>
      <c r="J48" s="51" t="s">
        <v>110</v>
      </c>
      <c r="K48" s="93" t="str">
        <f t="shared" si="8"/>
        <v>_____________</v>
      </c>
      <c r="N48" s="52" t="str">
        <f t="shared" si="9"/>
        <v>____________</v>
      </c>
      <c r="O48" s="52" t="str">
        <f t="shared" si="10"/>
        <v>________________</v>
      </c>
      <c r="P48" s="52" t="str">
        <f t="shared" si="1"/>
        <v>___________</v>
      </c>
      <c r="Q48" s="52" t="str">
        <f t="shared" si="2"/>
        <v>____________</v>
      </c>
      <c r="R48" s="52" t="str">
        <f t="shared" si="12"/>
        <v/>
      </c>
      <c r="S48" s="52" t="str">
        <f t="shared" si="13"/>
        <v>____________</v>
      </c>
      <c r="T48" s="52" t="str">
        <f t="shared" si="14"/>
        <v>____________</v>
      </c>
      <c r="U48" s="52" t="str">
        <f t="shared" si="15"/>
        <v/>
      </c>
      <c r="V48" s="52" t="str">
        <f t="shared" si="16"/>
        <v>________</v>
      </c>
      <c r="W48" s="93" t="str">
        <f t="shared" si="11"/>
        <v>____________</v>
      </c>
    </row>
    <row r="49" spans="1:23" x14ac:dyDescent="0.2">
      <c r="K49" s="93" t="str">
        <f t="shared" si="8"/>
        <v/>
      </c>
      <c r="N49" s="52" t="str">
        <f t="shared" si="9"/>
        <v/>
      </c>
      <c r="O49" s="52" t="str">
        <f t="shared" si="10"/>
        <v/>
      </c>
      <c r="P49" s="52" t="str">
        <f t="shared" si="1"/>
        <v/>
      </c>
      <c r="Q49" s="52" t="str">
        <f t="shared" si="2"/>
        <v/>
      </c>
      <c r="R49" s="52" t="str">
        <f t="shared" si="12"/>
        <v/>
      </c>
      <c r="S49" s="52" t="str">
        <f t="shared" si="13"/>
        <v/>
      </c>
      <c r="T49" s="52" t="str">
        <f t="shared" si="14"/>
        <v/>
      </c>
      <c r="U49" s="52" t="str">
        <f t="shared" si="15"/>
        <v/>
      </c>
      <c r="V49" s="52" t="str">
        <f t="shared" si="16"/>
        <v/>
      </c>
      <c r="W49" s="93" t="str">
        <f t="shared" si="11"/>
        <v/>
      </c>
    </row>
    <row r="50" spans="1:23" x14ac:dyDescent="0.2">
      <c r="K50" s="93" t="str">
        <f t="shared" si="8"/>
        <v/>
      </c>
      <c r="N50" s="52" t="str">
        <f t="shared" si="9"/>
        <v/>
      </c>
      <c r="O50" s="52" t="str">
        <f t="shared" si="10"/>
        <v/>
      </c>
      <c r="P50" s="52" t="str">
        <f t="shared" si="1"/>
        <v/>
      </c>
      <c r="Q50" s="52" t="str">
        <f t="shared" si="2"/>
        <v/>
      </c>
      <c r="R50" s="52" t="str">
        <f t="shared" si="12"/>
        <v/>
      </c>
      <c r="S50" s="52" t="str">
        <f t="shared" si="13"/>
        <v/>
      </c>
      <c r="T50" s="52" t="str">
        <f t="shared" si="14"/>
        <v/>
      </c>
      <c r="U50" s="52" t="str">
        <f t="shared" si="15"/>
        <v/>
      </c>
      <c r="V50" s="52" t="str">
        <f t="shared" si="16"/>
        <v/>
      </c>
      <c r="W50" s="93" t="str">
        <f t="shared" si="11"/>
        <v/>
      </c>
    </row>
    <row r="51" spans="1:23" x14ac:dyDescent="0.2">
      <c r="A51" s="51" t="s">
        <v>24</v>
      </c>
      <c r="B51" s="51" t="s">
        <v>221</v>
      </c>
      <c r="C51" s="51">
        <v>5629</v>
      </c>
      <c r="D51" s="51">
        <v>4046817</v>
      </c>
      <c r="E51" s="51" t="s">
        <v>298</v>
      </c>
      <c r="F51" s="51">
        <v>5668837</v>
      </c>
      <c r="G51" s="51">
        <v>4034110</v>
      </c>
      <c r="H51" s="51" t="s">
        <v>299</v>
      </c>
      <c r="J51" s="51">
        <v>8395</v>
      </c>
      <c r="K51" s="93" t="str">
        <f t="shared" si="8"/>
        <v>Unleaded 98</v>
      </c>
      <c r="N51" s="52" t="str">
        <f t="shared" si="9"/>
        <v>TK-808</v>
      </c>
      <c r="O51" s="52" t="str">
        <f t="shared" si="10"/>
        <v>08 Unleaded 98</v>
      </c>
      <c r="P51" s="52">
        <f t="shared" si="1"/>
        <v>5.6289999999999996</v>
      </c>
      <c r="Q51" s="52">
        <f>IF(ISTEXT(D51),IF(LEFT(D51,1)="0",VALUE(LEFT(D51,1)),D51),IF(D51&gt;0,D51/1000,""))</f>
        <v>4046.817</v>
      </c>
      <c r="R51" s="52">
        <f t="shared" si="12"/>
        <v>18</v>
      </c>
      <c r="S51" s="52">
        <f t="shared" si="13"/>
        <v>5668.8370000000004</v>
      </c>
      <c r="T51" s="52">
        <f t="shared" si="14"/>
        <v>4034.11</v>
      </c>
      <c r="U51" s="52">
        <f t="shared" si="15"/>
        <v>758.7</v>
      </c>
      <c r="V51" s="52" t="str">
        <f t="shared" si="16"/>
        <v/>
      </c>
      <c r="W51" s="93">
        <f t="shared" si="11"/>
        <v>8.3949999999999996</v>
      </c>
    </row>
    <row r="52" spans="1:23" x14ac:dyDescent="0.2">
      <c r="A52" s="51" t="s">
        <v>110</v>
      </c>
      <c r="B52" s="51" t="s">
        <v>206</v>
      </c>
      <c r="C52" s="51" t="s">
        <v>207</v>
      </c>
      <c r="D52" s="51" t="s">
        <v>110</v>
      </c>
      <c r="E52" s="51" t="s">
        <v>208</v>
      </c>
      <c r="F52" s="51" t="s">
        <v>110</v>
      </c>
      <c r="G52" s="51" t="s">
        <v>110</v>
      </c>
      <c r="H52" s="51" t="s">
        <v>209</v>
      </c>
      <c r="I52" s="51" t="s">
        <v>209</v>
      </c>
      <c r="J52" s="51" t="s">
        <v>110</v>
      </c>
      <c r="K52" s="93" t="str">
        <f t="shared" si="8"/>
        <v>_____________</v>
      </c>
      <c r="N52" s="52" t="str">
        <f t="shared" si="9"/>
        <v>____________</v>
      </c>
      <c r="O52" s="52" t="str">
        <f t="shared" si="10"/>
        <v>________________</v>
      </c>
      <c r="P52" s="52" t="str">
        <f t="shared" si="1"/>
        <v>___________</v>
      </c>
      <c r="Q52" s="52" t="str">
        <f>IF(ISTEXT(D52),IF(LEFT(D52,1)="0",VALUE(LEFT(D52,1)),D52),IF(D52&gt;0,D52/1000,""))</f>
        <v>____________</v>
      </c>
      <c r="R52" s="52" t="str">
        <f t="shared" si="12"/>
        <v/>
      </c>
      <c r="S52" s="52" t="str">
        <f t="shared" si="13"/>
        <v>____________</v>
      </c>
      <c r="T52" s="52" t="str">
        <f t="shared" si="14"/>
        <v>____________</v>
      </c>
      <c r="U52" s="52" t="str">
        <f t="shared" si="15"/>
        <v/>
      </c>
      <c r="V52" s="52" t="str">
        <f t="shared" si="16"/>
        <v>________</v>
      </c>
      <c r="W52" s="93" t="str">
        <f t="shared" si="11"/>
        <v>____________</v>
      </c>
    </row>
    <row r="53" spans="1:23" x14ac:dyDescent="0.2">
      <c r="K53" s="93" t="str">
        <f t="shared" si="8"/>
        <v/>
      </c>
      <c r="N53" s="52" t="str">
        <f t="shared" si="9"/>
        <v/>
      </c>
      <c r="O53" s="52" t="str">
        <f t="shared" si="10"/>
        <v/>
      </c>
      <c r="P53" s="52" t="str">
        <f t="shared" si="1"/>
        <v/>
      </c>
      <c r="Q53" s="52" t="str">
        <f>IF(ISTEXT(D53),IF(LEFT(D53,1)="0",VALUE(LEFT(D53,1)),D53),IF(D53&gt;0,D53/1000,""))</f>
        <v/>
      </c>
      <c r="R53" s="52" t="str">
        <f t="shared" si="12"/>
        <v/>
      </c>
      <c r="S53" s="52" t="str">
        <f t="shared" si="13"/>
        <v/>
      </c>
      <c r="T53" s="52" t="str">
        <f t="shared" si="14"/>
        <v/>
      </c>
      <c r="U53" s="52" t="str">
        <f t="shared" si="15"/>
        <v/>
      </c>
      <c r="V53" s="52" t="str">
        <f t="shared" si="16"/>
        <v/>
      </c>
      <c r="W53" s="93" t="str">
        <f t="shared" si="11"/>
        <v/>
      </c>
    </row>
    <row r="54" spans="1:23" x14ac:dyDescent="0.2">
      <c r="K54" s="93" t="str">
        <f t="shared" si="8"/>
        <v/>
      </c>
      <c r="N54" s="52" t="str">
        <f t="shared" si="9"/>
        <v/>
      </c>
      <c r="O54" s="52" t="str">
        <f t="shared" si="10"/>
        <v/>
      </c>
      <c r="P54" s="52" t="str">
        <f t="shared" si="1"/>
        <v/>
      </c>
      <c r="Q54" s="52" t="str">
        <f>IF(ISTEXT(D54),IF(LEFT(D54,1)="0",VALUE(LEFT(D54,1)),D54),IF(D54&gt;0,D54/1000,""))</f>
        <v/>
      </c>
      <c r="R54" s="52" t="str">
        <f t="shared" si="12"/>
        <v/>
      </c>
      <c r="S54" s="52" t="str">
        <f t="shared" si="13"/>
        <v/>
      </c>
      <c r="T54" s="52" t="str">
        <f t="shared" si="14"/>
        <v/>
      </c>
      <c r="U54" s="52" t="str">
        <f t="shared" si="15"/>
        <v/>
      </c>
      <c r="V54" s="52" t="str">
        <f t="shared" si="16"/>
        <v/>
      </c>
      <c r="W54" s="93" t="str">
        <f t="shared" si="11"/>
        <v/>
      </c>
    </row>
    <row r="55" spans="1:23" x14ac:dyDescent="0.2">
      <c r="A55" s="51" t="s">
        <v>25</v>
      </c>
      <c r="B55" s="51" t="s">
        <v>222</v>
      </c>
      <c r="C55" s="51">
        <v>3330</v>
      </c>
      <c r="D55" s="51">
        <v>595936</v>
      </c>
      <c r="E55" s="51" t="s">
        <v>252</v>
      </c>
      <c r="F55" s="51">
        <v>1915390</v>
      </c>
      <c r="G55" s="51">
        <v>597605</v>
      </c>
      <c r="H55" s="51" t="s">
        <v>300</v>
      </c>
      <c r="J55" s="51">
        <v>-619566</v>
      </c>
      <c r="K55" s="93" t="str">
        <f t="shared" si="8"/>
        <v>PF/Feed</v>
      </c>
      <c r="N55" s="52" t="str">
        <f t="shared" si="9"/>
        <v>TK-809</v>
      </c>
      <c r="O55" s="52" t="str">
        <f t="shared" si="10"/>
        <v>11 PF/Feed</v>
      </c>
      <c r="P55" s="52">
        <f t="shared" si="1"/>
        <v>3.33</v>
      </c>
      <c r="Q55" s="52">
        <f t="shared" ref="Q55:Q118" si="17">IF(ISTEXT(D55),IF(LEFT(D55,1)="0",VALUE(LEFT(D55,1)),D55),IF(D55&gt;0,D55/1000,""))</f>
        <v>595.93600000000004</v>
      </c>
      <c r="R55" s="52">
        <f t="shared" si="12"/>
        <v>12.7</v>
      </c>
      <c r="S55" s="52">
        <f t="shared" si="13"/>
        <v>1915.39</v>
      </c>
      <c r="T55" s="52">
        <f t="shared" si="14"/>
        <v>597.60500000000002</v>
      </c>
      <c r="U55" s="52">
        <f t="shared" si="15"/>
        <v>738.7</v>
      </c>
      <c r="V55" s="52" t="str">
        <f t="shared" si="16"/>
        <v/>
      </c>
      <c r="W55" s="93">
        <f t="shared" si="11"/>
        <v>-619.56600000000003</v>
      </c>
    </row>
    <row r="56" spans="1:23" x14ac:dyDescent="0.2">
      <c r="A56" s="51" t="s">
        <v>47</v>
      </c>
      <c r="B56" s="51" t="s">
        <v>222</v>
      </c>
      <c r="C56" s="51">
        <v>6320</v>
      </c>
      <c r="D56" s="51">
        <v>723985</v>
      </c>
      <c r="E56" s="51" t="s">
        <v>301</v>
      </c>
      <c r="F56" s="51">
        <v>443705</v>
      </c>
      <c r="G56" s="51">
        <v>725650</v>
      </c>
      <c r="H56" s="51" t="s">
        <v>302</v>
      </c>
      <c r="J56" s="51">
        <v>64357</v>
      </c>
      <c r="K56" s="93" t="str">
        <f t="shared" si="8"/>
        <v>PF/Feed</v>
      </c>
      <c r="N56" s="52" t="str">
        <f t="shared" si="9"/>
        <v>TK-833</v>
      </c>
      <c r="O56" s="52" t="str">
        <f t="shared" si="10"/>
        <v>11 PF/Feed</v>
      </c>
      <c r="P56" s="52">
        <f t="shared" si="1"/>
        <v>6.32</v>
      </c>
      <c r="Q56" s="52">
        <f t="shared" si="17"/>
        <v>723.98500000000001</v>
      </c>
      <c r="R56" s="52">
        <f t="shared" si="12"/>
        <v>13.1</v>
      </c>
      <c r="S56" s="52">
        <f t="shared" si="13"/>
        <v>443.70499999999998</v>
      </c>
      <c r="T56" s="52">
        <f t="shared" si="14"/>
        <v>725.65</v>
      </c>
      <c r="U56" s="52">
        <f t="shared" si="15"/>
        <v>740</v>
      </c>
      <c r="V56" s="52" t="str">
        <f t="shared" si="16"/>
        <v/>
      </c>
      <c r="W56" s="93">
        <f t="shared" si="11"/>
        <v>64.356999999999999</v>
      </c>
    </row>
    <row r="57" spans="1:23" x14ac:dyDescent="0.2">
      <c r="A57" s="51" t="s">
        <v>63</v>
      </c>
      <c r="B57" s="51" t="s">
        <v>222</v>
      </c>
      <c r="C57" s="51">
        <v>6925</v>
      </c>
      <c r="D57" s="51">
        <v>966682</v>
      </c>
      <c r="E57" s="51" t="s">
        <v>303</v>
      </c>
      <c r="F57" s="51">
        <v>478139</v>
      </c>
      <c r="G57" s="51">
        <v>945995</v>
      </c>
      <c r="H57" s="51" t="s">
        <v>304</v>
      </c>
      <c r="J57" s="51" t="s">
        <v>305</v>
      </c>
      <c r="K57" s="93" t="str">
        <f t="shared" si="8"/>
        <v>PF/Feed</v>
      </c>
      <c r="N57" s="52" t="str">
        <f t="shared" si="9"/>
        <v>TK-840</v>
      </c>
      <c r="O57" s="52" t="str">
        <f t="shared" si="10"/>
        <v>11 PF/Feed</v>
      </c>
      <c r="P57" s="52">
        <f t="shared" si="1"/>
        <v>6.9249999999999998</v>
      </c>
      <c r="Q57" s="52">
        <f t="shared" si="17"/>
        <v>966.68200000000002</v>
      </c>
      <c r="R57" s="52">
        <f t="shared" si="12"/>
        <v>7.3</v>
      </c>
      <c r="S57" s="52">
        <f t="shared" si="13"/>
        <v>478.13900000000001</v>
      </c>
      <c r="T57" s="52">
        <f t="shared" si="14"/>
        <v>945.995</v>
      </c>
      <c r="U57" s="52">
        <f t="shared" si="15"/>
        <v>727.3</v>
      </c>
      <c r="V57" s="52" t="str">
        <f t="shared" si="16"/>
        <v/>
      </c>
      <c r="W57" s="93">
        <f t="shared" si="11"/>
        <v>0.55300000000000005</v>
      </c>
    </row>
    <row r="58" spans="1:23" x14ac:dyDescent="0.2">
      <c r="A58" s="51" t="s">
        <v>110</v>
      </c>
      <c r="B58" s="51" t="s">
        <v>206</v>
      </c>
      <c r="C58" s="51" t="s">
        <v>207</v>
      </c>
      <c r="D58" s="51" t="s">
        <v>110</v>
      </c>
      <c r="E58" s="51" t="s">
        <v>208</v>
      </c>
      <c r="F58" s="51" t="s">
        <v>110</v>
      </c>
      <c r="G58" s="51" t="s">
        <v>110</v>
      </c>
      <c r="H58" s="51" t="s">
        <v>209</v>
      </c>
      <c r="I58" s="51" t="s">
        <v>209</v>
      </c>
      <c r="J58" s="51" t="s">
        <v>110</v>
      </c>
      <c r="K58" s="93" t="str">
        <f t="shared" si="8"/>
        <v>_____________</v>
      </c>
      <c r="N58" s="52" t="str">
        <f t="shared" si="9"/>
        <v>____________</v>
      </c>
      <c r="O58" s="52" t="str">
        <f t="shared" si="10"/>
        <v>________________</v>
      </c>
      <c r="P58" s="52" t="str">
        <f t="shared" si="1"/>
        <v>___________</v>
      </c>
      <c r="Q58" s="52" t="str">
        <f t="shared" si="17"/>
        <v>____________</v>
      </c>
      <c r="R58" s="52" t="str">
        <f t="shared" si="12"/>
        <v/>
      </c>
      <c r="S58" s="52" t="str">
        <f t="shared" si="13"/>
        <v>____________</v>
      </c>
      <c r="T58" s="52" t="str">
        <f t="shared" si="14"/>
        <v>____________</v>
      </c>
      <c r="U58" s="52" t="str">
        <f t="shared" si="15"/>
        <v/>
      </c>
      <c r="V58" s="52" t="str">
        <f t="shared" si="16"/>
        <v>________</v>
      </c>
      <c r="W58" s="93" t="str">
        <f t="shared" si="11"/>
        <v>____________</v>
      </c>
    </row>
    <row r="59" spans="1:23" x14ac:dyDescent="0.2">
      <c r="K59" s="93" t="str">
        <f t="shared" si="8"/>
        <v/>
      </c>
      <c r="N59" s="52" t="str">
        <f t="shared" si="9"/>
        <v/>
      </c>
      <c r="O59" s="52" t="str">
        <f t="shared" si="10"/>
        <v/>
      </c>
      <c r="P59" s="52" t="str">
        <f t="shared" si="1"/>
        <v/>
      </c>
      <c r="Q59" s="52" t="str">
        <f t="shared" si="17"/>
        <v/>
      </c>
      <c r="R59" s="52" t="str">
        <f t="shared" si="12"/>
        <v/>
      </c>
      <c r="S59" s="52" t="str">
        <f t="shared" si="13"/>
        <v/>
      </c>
      <c r="T59" s="52" t="str">
        <f t="shared" si="14"/>
        <v/>
      </c>
      <c r="U59" s="52" t="str">
        <f t="shared" si="15"/>
        <v/>
      </c>
      <c r="V59" s="52" t="str">
        <f t="shared" si="16"/>
        <v/>
      </c>
      <c r="W59" s="93" t="str">
        <f t="shared" si="11"/>
        <v/>
      </c>
    </row>
    <row r="60" spans="1:23" x14ac:dyDescent="0.2">
      <c r="K60" s="93" t="str">
        <f t="shared" si="8"/>
        <v/>
      </c>
      <c r="N60" s="52" t="str">
        <f t="shared" si="9"/>
        <v/>
      </c>
      <c r="O60" s="52" t="str">
        <f t="shared" si="10"/>
        <v/>
      </c>
      <c r="P60" s="52" t="str">
        <f t="shared" si="1"/>
        <v/>
      </c>
      <c r="Q60" s="52" t="str">
        <f t="shared" si="17"/>
        <v/>
      </c>
      <c r="R60" s="52" t="str">
        <f t="shared" si="12"/>
        <v/>
      </c>
      <c r="S60" s="52" t="str">
        <f t="shared" si="13"/>
        <v/>
      </c>
      <c r="T60" s="52" t="str">
        <f t="shared" si="14"/>
        <v/>
      </c>
      <c r="U60" s="52" t="str">
        <f t="shared" si="15"/>
        <v/>
      </c>
      <c r="V60" s="52" t="str">
        <f t="shared" si="16"/>
        <v/>
      </c>
      <c r="W60" s="93" t="str">
        <f t="shared" si="11"/>
        <v/>
      </c>
    </row>
    <row r="61" spans="1:23" x14ac:dyDescent="0.2">
      <c r="A61" s="51" t="s">
        <v>46</v>
      </c>
      <c r="B61" s="51" t="s">
        <v>223</v>
      </c>
      <c r="C61" s="51">
        <v>12105</v>
      </c>
      <c r="D61" s="51">
        <v>2390885</v>
      </c>
      <c r="E61" s="51" t="s">
        <v>244</v>
      </c>
      <c r="F61" s="51">
        <v>245892</v>
      </c>
      <c r="G61" s="51">
        <v>2398536</v>
      </c>
      <c r="H61" s="51" t="s">
        <v>306</v>
      </c>
      <c r="J61" s="51">
        <v>167816</v>
      </c>
      <c r="K61" s="93" t="str">
        <f t="shared" si="8"/>
        <v>Bio</v>
      </c>
      <c r="N61" s="52" t="str">
        <f t="shared" si="9"/>
        <v>TK-1071</v>
      </c>
      <c r="O61" s="52" t="str">
        <f t="shared" si="10"/>
        <v>13 Bio</v>
      </c>
      <c r="P61" s="52">
        <f t="shared" si="1"/>
        <v>12.105</v>
      </c>
      <c r="Q61" s="52">
        <f t="shared" si="17"/>
        <v>2390.8850000000002</v>
      </c>
      <c r="R61" s="52">
        <f t="shared" si="12"/>
        <v>10.9</v>
      </c>
      <c r="S61" s="52">
        <f t="shared" si="13"/>
        <v>245.892</v>
      </c>
      <c r="T61" s="52">
        <f t="shared" si="14"/>
        <v>2398.5360000000001</v>
      </c>
      <c r="U61" s="52">
        <f t="shared" si="15"/>
        <v>882.2</v>
      </c>
      <c r="V61" s="52" t="str">
        <f t="shared" si="16"/>
        <v/>
      </c>
      <c r="W61" s="93">
        <f t="shared" si="11"/>
        <v>167.816</v>
      </c>
    </row>
    <row r="62" spans="1:23" x14ac:dyDescent="0.2">
      <c r="A62" s="51" t="s">
        <v>110</v>
      </c>
      <c r="B62" s="51" t="s">
        <v>206</v>
      </c>
      <c r="C62" s="51" t="s">
        <v>207</v>
      </c>
      <c r="D62" s="51" t="s">
        <v>110</v>
      </c>
      <c r="E62" s="51" t="s">
        <v>208</v>
      </c>
      <c r="F62" s="51" t="s">
        <v>110</v>
      </c>
      <c r="G62" s="51" t="s">
        <v>110</v>
      </c>
      <c r="H62" s="51" t="s">
        <v>209</v>
      </c>
      <c r="I62" s="51" t="s">
        <v>209</v>
      </c>
      <c r="J62" s="51" t="s">
        <v>110</v>
      </c>
      <c r="K62" s="93" t="str">
        <f t="shared" si="8"/>
        <v>_____________</v>
      </c>
      <c r="N62" s="52" t="str">
        <f t="shared" si="9"/>
        <v>____________</v>
      </c>
      <c r="O62" s="52" t="str">
        <f t="shared" si="10"/>
        <v>________________</v>
      </c>
      <c r="P62" s="52" t="str">
        <f t="shared" si="1"/>
        <v>___________</v>
      </c>
      <c r="Q62" s="52" t="str">
        <f t="shared" si="17"/>
        <v>____________</v>
      </c>
      <c r="R62" s="52" t="str">
        <f t="shared" si="12"/>
        <v/>
      </c>
      <c r="S62" s="52" t="str">
        <f t="shared" si="13"/>
        <v>____________</v>
      </c>
      <c r="T62" s="52" t="str">
        <f t="shared" si="14"/>
        <v>____________</v>
      </c>
      <c r="U62" s="52" t="str">
        <f t="shared" si="15"/>
        <v/>
      </c>
      <c r="V62" s="52" t="str">
        <f t="shared" si="16"/>
        <v>________</v>
      </c>
      <c r="W62" s="93" t="str">
        <f t="shared" si="11"/>
        <v>____________</v>
      </c>
    </row>
    <row r="63" spans="1:23" x14ac:dyDescent="0.2">
      <c r="K63" s="93" t="str">
        <f t="shared" si="8"/>
        <v/>
      </c>
      <c r="N63" s="52" t="str">
        <f t="shared" si="9"/>
        <v/>
      </c>
      <c r="O63" s="52" t="str">
        <f t="shared" si="10"/>
        <v/>
      </c>
      <c r="P63" s="52" t="str">
        <f t="shared" si="1"/>
        <v/>
      </c>
      <c r="Q63" s="52" t="str">
        <f t="shared" si="17"/>
        <v/>
      </c>
      <c r="R63" s="52" t="str">
        <f t="shared" si="12"/>
        <v/>
      </c>
      <c r="S63" s="52" t="str">
        <f t="shared" si="13"/>
        <v/>
      </c>
      <c r="T63" s="52" t="str">
        <f t="shared" si="14"/>
        <v/>
      </c>
      <c r="U63" s="52" t="str">
        <f t="shared" si="15"/>
        <v/>
      </c>
      <c r="V63" s="52" t="str">
        <f t="shared" si="16"/>
        <v/>
      </c>
      <c r="W63" s="93" t="str">
        <f t="shared" si="11"/>
        <v/>
      </c>
    </row>
    <row r="64" spans="1:23" x14ac:dyDescent="0.2">
      <c r="K64" s="93" t="str">
        <f t="shared" si="8"/>
        <v/>
      </c>
      <c r="N64" s="52" t="str">
        <f t="shared" si="9"/>
        <v/>
      </c>
      <c r="O64" s="52" t="str">
        <f t="shared" si="10"/>
        <v/>
      </c>
      <c r="P64" s="52" t="str">
        <f t="shared" si="1"/>
        <v/>
      </c>
      <c r="Q64" s="52" t="str">
        <f t="shared" si="17"/>
        <v/>
      </c>
      <c r="R64" s="52" t="str">
        <f t="shared" si="12"/>
        <v/>
      </c>
      <c r="S64" s="52" t="str">
        <f t="shared" si="13"/>
        <v/>
      </c>
      <c r="T64" s="52" t="str">
        <f t="shared" si="14"/>
        <v/>
      </c>
      <c r="U64" s="52" t="str">
        <f t="shared" si="15"/>
        <v/>
      </c>
      <c r="V64" s="52" t="str">
        <f t="shared" si="16"/>
        <v/>
      </c>
      <c r="W64" s="93" t="str">
        <f t="shared" si="11"/>
        <v/>
      </c>
    </row>
    <row r="65" spans="1:23" x14ac:dyDescent="0.2">
      <c r="A65" s="51" t="s">
        <v>51</v>
      </c>
      <c r="B65" s="51" t="s">
        <v>224</v>
      </c>
      <c r="C65" s="51" t="s">
        <v>307</v>
      </c>
      <c r="D65" s="51">
        <v>275384</v>
      </c>
      <c r="E65" s="51" t="s">
        <v>289</v>
      </c>
      <c r="F65" s="51">
        <v>3774898</v>
      </c>
      <c r="G65" s="51">
        <v>276265</v>
      </c>
      <c r="H65" s="51" t="s">
        <v>308</v>
      </c>
      <c r="I65" s="51" t="s">
        <v>309</v>
      </c>
      <c r="J65" s="51">
        <v>3314</v>
      </c>
      <c r="K65" s="93" t="str">
        <f t="shared" si="8"/>
        <v>JP-1A</v>
      </c>
      <c r="N65" s="52" t="str">
        <f t="shared" si="9"/>
        <v>TK-818</v>
      </c>
      <c r="O65" s="52" t="str">
        <f t="shared" si="10"/>
        <v>15 JP-1A</v>
      </c>
      <c r="P65" s="52">
        <f t="shared" ref="P65:P73" si="18">IF(ISTEXT(C65),IF(ISNUMBER(VALUE(SUBSTITUTE(C65,".",","))),VALUE(SUBSTITUTE(C65,".",",")),C65),IF(C65&gt;0,C65/1000,""))</f>
        <v>0.95499999999999996</v>
      </c>
      <c r="Q65" s="52">
        <f t="shared" si="17"/>
        <v>275.38400000000001</v>
      </c>
      <c r="R65" s="52">
        <f t="shared" si="12"/>
        <v>11.7</v>
      </c>
      <c r="S65" s="52">
        <f t="shared" si="13"/>
        <v>3774.8980000000001</v>
      </c>
      <c r="T65" s="52">
        <f t="shared" si="14"/>
        <v>276.26499999999999</v>
      </c>
      <c r="U65" s="52">
        <f t="shared" si="15"/>
        <v>786.3</v>
      </c>
      <c r="V65" s="52" t="str">
        <f t="shared" si="16"/>
        <v>Low</v>
      </c>
      <c r="W65" s="93">
        <f t="shared" si="11"/>
        <v>3.3140000000000001</v>
      </c>
    </row>
    <row r="66" spans="1:23" x14ac:dyDescent="0.2">
      <c r="A66" s="51" t="s">
        <v>53</v>
      </c>
      <c r="B66" s="51" t="s">
        <v>224</v>
      </c>
      <c r="C66" s="51" t="s">
        <v>310</v>
      </c>
      <c r="D66" s="51">
        <v>265442</v>
      </c>
      <c r="E66" s="51" t="s">
        <v>241</v>
      </c>
      <c r="F66" s="51">
        <v>3798026</v>
      </c>
      <c r="G66" s="51">
        <v>266291</v>
      </c>
      <c r="H66" s="51" t="s">
        <v>311</v>
      </c>
      <c r="I66" s="51" t="s">
        <v>211</v>
      </c>
      <c r="J66" s="51" t="s">
        <v>312</v>
      </c>
      <c r="K66" s="93" t="str">
        <f t="shared" si="8"/>
        <v>JP-1A</v>
      </c>
      <c r="N66" s="52" t="str">
        <f t="shared" si="9"/>
        <v>TK-819</v>
      </c>
      <c r="O66" s="52" t="str">
        <f t="shared" si="10"/>
        <v>15 JP-1A</v>
      </c>
      <c r="P66" s="52">
        <f t="shared" si="18"/>
        <v>0.89100000000000001</v>
      </c>
      <c r="Q66" s="52">
        <f t="shared" si="17"/>
        <v>265.44200000000001</v>
      </c>
      <c r="R66" s="52">
        <f t="shared" si="12"/>
        <v>11.8</v>
      </c>
      <c r="S66" s="52">
        <f t="shared" si="13"/>
        <v>3798.0259999999998</v>
      </c>
      <c r="T66" s="52">
        <f t="shared" si="14"/>
        <v>266.291</v>
      </c>
      <c r="U66" s="52">
        <f t="shared" si="15"/>
        <v>785.2</v>
      </c>
      <c r="V66" s="52" t="str">
        <f t="shared" si="16"/>
        <v>LoLo</v>
      </c>
      <c r="W66" s="93">
        <f t="shared" si="11"/>
        <v>0.38700000000000001</v>
      </c>
    </row>
    <row r="67" spans="1:23" x14ac:dyDescent="0.2">
      <c r="A67" s="51" t="s">
        <v>57</v>
      </c>
      <c r="B67" s="51" t="s">
        <v>224</v>
      </c>
      <c r="C67" s="51">
        <v>1242</v>
      </c>
      <c r="D67" s="51">
        <v>635973</v>
      </c>
      <c r="E67" s="51" t="s">
        <v>313</v>
      </c>
      <c r="F67" s="51">
        <v>6058588</v>
      </c>
      <c r="G67" s="51">
        <v>634459</v>
      </c>
      <c r="H67" s="51" t="s">
        <v>250</v>
      </c>
      <c r="J67" s="51">
        <v>1091</v>
      </c>
      <c r="K67" s="93" t="str">
        <f t="shared" si="8"/>
        <v>JP-1A</v>
      </c>
      <c r="N67" s="52" t="str">
        <f t="shared" si="9"/>
        <v>TK-820</v>
      </c>
      <c r="O67" s="52" t="str">
        <f t="shared" si="10"/>
        <v>15 JP-1A</v>
      </c>
      <c r="P67" s="52">
        <f t="shared" si="18"/>
        <v>1.242</v>
      </c>
      <c r="Q67" s="52">
        <f t="shared" si="17"/>
        <v>635.97299999999996</v>
      </c>
      <c r="R67" s="52">
        <f t="shared" ref="R67:R98" si="19">IF(ISNUMBER(VALUE(SUBSTITUTE(E67,".",","))),VALUE(SUBSTITUTE(E67,".",",")),"")</f>
        <v>17.5</v>
      </c>
      <c r="S67" s="52">
        <f t="shared" ref="S67:S98" si="20">IF(ISTEXT(F67),F67,IF(F67&gt;0,F67/1000,""))</f>
        <v>6058.5879999999997</v>
      </c>
      <c r="T67" s="52">
        <f t="shared" ref="T67:T98" si="21">IF(ISTEXT(G67),G67,IF(G67&gt;0,G67/1000,""))</f>
        <v>634.45899999999995</v>
      </c>
      <c r="U67" s="52">
        <f t="shared" ref="U67:U98" si="22">IF(ISNUMBER(VALUE(SUBSTITUTE(H67,".",","))),VALUE(SUBSTITUTE(H67,".",",")),"")</f>
        <v>790.6</v>
      </c>
      <c r="V67" s="52" t="str">
        <f t="shared" ref="V67:V98" si="23">IF(ISTEXT(I67),I67,"")</f>
        <v/>
      </c>
      <c r="W67" s="93">
        <f t="shared" si="11"/>
        <v>1.091</v>
      </c>
    </row>
    <row r="68" spans="1:23" x14ac:dyDescent="0.2">
      <c r="A68" s="51" t="s">
        <v>59</v>
      </c>
      <c r="B68" s="51" t="s">
        <v>224</v>
      </c>
      <c r="C68" s="51">
        <v>1654</v>
      </c>
      <c r="D68" s="51">
        <v>826515</v>
      </c>
      <c r="E68" s="51" t="s">
        <v>314</v>
      </c>
      <c r="F68" s="51">
        <v>5868011</v>
      </c>
      <c r="G68" s="51">
        <v>814655</v>
      </c>
      <c r="H68" s="51" t="s">
        <v>315</v>
      </c>
      <c r="J68" s="51">
        <v>261274</v>
      </c>
      <c r="K68" s="93" t="str">
        <f t="shared" ref="K68:K131" si="24">MID(B68,4,20)</f>
        <v>JP-1A</v>
      </c>
      <c r="N68" s="52" t="str">
        <f t="shared" ref="N68:N131" si="25">IF(ISTEXT(A68),A68,"")</f>
        <v>TK-821</v>
      </c>
      <c r="O68" s="52" t="str">
        <f t="shared" ref="O68:O131" si="26">IF(ISTEXT(B68),B68,"")</f>
        <v>15 JP-1A</v>
      </c>
      <c r="P68" s="52">
        <f t="shared" si="18"/>
        <v>1.6539999999999999</v>
      </c>
      <c r="Q68" s="52">
        <f t="shared" si="17"/>
        <v>826.51499999999999</v>
      </c>
      <c r="R68" s="52">
        <f t="shared" si="19"/>
        <v>15.1</v>
      </c>
      <c r="S68" s="52">
        <f t="shared" si="20"/>
        <v>5868.0110000000004</v>
      </c>
      <c r="T68" s="52">
        <f t="shared" si="21"/>
        <v>814.65499999999997</v>
      </c>
      <c r="U68" s="52">
        <f t="shared" si="22"/>
        <v>787.7</v>
      </c>
      <c r="V68" s="52" t="str">
        <f t="shared" si="23"/>
        <v/>
      </c>
      <c r="W68" s="93">
        <f t="shared" ref="W68:W131" si="27">IF(LEFT(J68,3)="-0.",MID(J68,4,10)/-1000,IF(LEFT(J68,2)="0.",MID(J68,3,10)/1000,IF(ISTEXT(J68),J68,IF(J68=0,"",J68/1000))))</f>
        <v>261.274</v>
      </c>
    </row>
    <row r="69" spans="1:23" x14ac:dyDescent="0.2">
      <c r="A69" s="51" t="s">
        <v>61</v>
      </c>
      <c r="B69" s="51" t="s">
        <v>224</v>
      </c>
      <c r="C69" s="51">
        <v>7838</v>
      </c>
      <c r="D69" s="51">
        <v>4949936</v>
      </c>
      <c r="E69" s="51" t="s">
        <v>245</v>
      </c>
      <c r="F69" s="51">
        <v>3645587</v>
      </c>
      <c r="G69" s="51">
        <v>4960331</v>
      </c>
      <c r="H69" s="51" t="s">
        <v>316</v>
      </c>
      <c r="J69" s="51">
        <v>-913950</v>
      </c>
      <c r="K69" s="93" t="str">
        <f t="shared" si="24"/>
        <v>JP-1A</v>
      </c>
      <c r="N69" s="52" t="str">
        <f t="shared" si="25"/>
        <v>TK-834</v>
      </c>
      <c r="O69" s="52" t="str">
        <f t="shared" si="26"/>
        <v>15 JP-1A</v>
      </c>
      <c r="P69" s="52">
        <f t="shared" si="18"/>
        <v>7.8380000000000001</v>
      </c>
      <c r="Q69" s="52">
        <f t="shared" si="17"/>
        <v>4949.9359999999997</v>
      </c>
      <c r="R69" s="52">
        <f t="shared" si="19"/>
        <v>15.4</v>
      </c>
      <c r="S69" s="52">
        <f t="shared" si="20"/>
        <v>3645.587</v>
      </c>
      <c r="T69" s="52">
        <f t="shared" si="21"/>
        <v>4960.3310000000001</v>
      </c>
      <c r="U69" s="52">
        <f t="shared" si="22"/>
        <v>793.6</v>
      </c>
      <c r="V69" s="52" t="str">
        <f t="shared" si="23"/>
        <v/>
      </c>
      <c r="W69" s="93">
        <f t="shared" si="27"/>
        <v>-913.95</v>
      </c>
    </row>
    <row r="70" spans="1:23" x14ac:dyDescent="0.2">
      <c r="A70" s="51" t="s">
        <v>110</v>
      </c>
      <c r="B70" s="51" t="s">
        <v>206</v>
      </c>
      <c r="C70" s="51" t="s">
        <v>207</v>
      </c>
      <c r="D70" s="51" t="s">
        <v>110</v>
      </c>
      <c r="E70" s="51" t="s">
        <v>208</v>
      </c>
      <c r="F70" s="51" t="s">
        <v>110</v>
      </c>
      <c r="G70" s="51" t="s">
        <v>110</v>
      </c>
      <c r="H70" s="51" t="s">
        <v>209</v>
      </c>
      <c r="I70" s="51" t="s">
        <v>209</v>
      </c>
      <c r="J70" s="51" t="s">
        <v>110</v>
      </c>
      <c r="K70" s="93" t="str">
        <f t="shared" si="24"/>
        <v>_____________</v>
      </c>
      <c r="N70" s="52" t="str">
        <f t="shared" si="25"/>
        <v>____________</v>
      </c>
      <c r="O70" s="52" t="str">
        <f t="shared" si="26"/>
        <v>________________</v>
      </c>
      <c r="P70" s="52" t="str">
        <f t="shared" si="18"/>
        <v>___________</v>
      </c>
      <c r="Q70" s="52" t="str">
        <f t="shared" si="17"/>
        <v>____________</v>
      </c>
      <c r="R70" s="52" t="str">
        <f t="shared" si="19"/>
        <v/>
      </c>
      <c r="S70" s="52" t="str">
        <f t="shared" si="20"/>
        <v>____________</v>
      </c>
      <c r="T70" s="52" t="str">
        <f t="shared" si="21"/>
        <v>____________</v>
      </c>
      <c r="U70" s="52" t="str">
        <f t="shared" si="22"/>
        <v/>
      </c>
      <c r="V70" s="52" t="str">
        <f t="shared" si="23"/>
        <v>________</v>
      </c>
      <c r="W70" s="93" t="str">
        <f t="shared" si="27"/>
        <v>____________</v>
      </c>
    </row>
    <row r="71" spans="1:23" x14ac:dyDescent="0.2">
      <c r="K71" s="93" t="str">
        <f t="shared" si="24"/>
        <v/>
      </c>
      <c r="N71" s="52" t="str">
        <f t="shared" si="25"/>
        <v/>
      </c>
      <c r="O71" s="52" t="str">
        <f t="shared" si="26"/>
        <v/>
      </c>
      <c r="P71" s="52" t="str">
        <f t="shared" si="18"/>
        <v/>
      </c>
      <c r="Q71" s="52" t="str">
        <f t="shared" si="17"/>
        <v/>
      </c>
      <c r="R71" s="52" t="str">
        <f t="shared" si="19"/>
        <v/>
      </c>
      <c r="S71" s="52" t="str">
        <f t="shared" si="20"/>
        <v/>
      </c>
      <c r="T71" s="52" t="str">
        <f t="shared" si="21"/>
        <v/>
      </c>
      <c r="U71" s="52" t="str">
        <f t="shared" si="22"/>
        <v/>
      </c>
      <c r="V71" s="52" t="str">
        <f t="shared" si="23"/>
        <v/>
      </c>
      <c r="W71" s="93" t="str">
        <f t="shared" si="27"/>
        <v/>
      </c>
    </row>
    <row r="72" spans="1:23" x14ac:dyDescent="0.2">
      <c r="K72" s="93" t="str">
        <f t="shared" si="24"/>
        <v/>
      </c>
      <c r="N72" s="52" t="str">
        <f t="shared" si="25"/>
        <v/>
      </c>
      <c r="O72" s="52" t="str">
        <f t="shared" si="26"/>
        <v/>
      </c>
      <c r="P72" s="52" t="str">
        <f t="shared" si="18"/>
        <v/>
      </c>
      <c r="Q72" s="52" t="str">
        <f t="shared" si="17"/>
        <v/>
      </c>
      <c r="R72" s="52" t="str">
        <f t="shared" si="19"/>
        <v/>
      </c>
      <c r="S72" s="52" t="str">
        <f t="shared" si="20"/>
        <v/>
      </c>
      <c r="T72" s="52" t="str">
        <f t="shared" si="21"/>
        <v/>
      </c>
      <c r="U72" s="52" t="str">
        <f t="shared" si="22"/>
        <v/>
      </c>
      <c r="V72" s="52" t="str">
        <f t="shared" si="23"/>
        <v/>
      </c>
      <c r="W72" s="93" t="str">
        <f t="shared" si="27"/>
        <v/>
      </c>
    </row>
    <row r="73" spans="1:23" x14ac:dyDescent="0.2">
      <c r="A73" s="51" t="s">
        <v>67</v>
      </c>
      <c r="B73" s="51" t="s">
        <v>225</v>
      </c>
      <c r="C73" s="51">
        <v>12698</v>
      </c>
      <c r="D73" s="51">
        <v>8135785</v>
      </c>
      <c r="E73" s="51" t="s">
        <v>317</v>
      </c>
      <c r="F73" s="51">
        <v>696052</v>
      </c>
      <c r="G73" s="51">
        <v>8155311</v>
      </c>
      <c r="H73" s="51" t="s">
        <v>318</v>
      </c>
      <c r="J73" s="51">
        <v>1765660</v>
      </c>
      <c r="K73" s="93" t="str">
        <f t="shared" si="24"/>
        <v>Heating Oil</v>
      </c>
      <c r="N73" s="52" t="str">
        <f t="shared" si="25"/>
        <v>TK-822</v>
      </c>
      <c r="O73" s="52" t="str">
        <f t="shared" si="26"/>
        <v>16 Heating Oil</v>
      </c>
      <c r="P73" s="52">
        <f t="shared" si="18"/>
        <v>12.698</v>
      </c>
      <c r="Q73" s="52">
        <f t="shared" si="17"/>
        <v>8135.7849999999999</v>
      </c>
      <c r="R73" s="52">
        <f t="shared" si="19"/>
        <v>13.9</v>
      </c>
      <c r="S73" s="52">
        <f t="shared" si="20"/>
        <v>696.05200000000002</v>
      </c>
      <c r="T73" s="52">
        <f t="shared" si="21"/>
        <v>8155.3109999999997</v>
      </c>
      <c r="U73" s="52">
        <f t="shared" si="22"/>
        <v>834.5</v>
      </c>
      <c r="V73" s="52" t="str">
        <f t="shared" si="23"/>
        <v/>
      </c>
      <c r="W73" s="93">
        <f t="shared" si="27"/>
        <v>1765.66</v>
      </c>
    </row>
    <row r="74" spans="1:23" x14ac:dyDescent="0.2">
      <c r="A74" s="51" t="s">
        <v>113</v>
      </c>
      <c r="B74" s="51" t="s">
        <v>225</v>
      </c>
      <c r="C74" s="51">
        <v>10243</v>
      </c>
      <c r="D74" s="51">
        <v>4973256</v>
      </c>
      <c r="E74" s="51" t="s">
        <v>319</v>
      </c>
      <c r="F74" s="51">
        <v>1560540</v>
      </c>
      <c r="G74" s="51">
        <v>4938493</v>
      </c>
      <c r="H74" s="51" t="s">
        <v>320</v>
      </c>
      <c r="J74" s="51">
        <v>-228875</v>
      </c>
      <c r="K74" s="93" t="str">
        <f t="shared" si="24"/>
        <v>Heating Oil</v>
      </c>
      <c r="N74" s="52" t="str">
        <f t="shared" si="25"/>
        <v>TK-823</v>
      </c>
      <c r="O74" s="52" t="str">
        <f t="shared" si="26"/>
        <v>16 Heating Oil</v>
      </c>
      <c r="P74" s="52">
        <f>IF(ISTEXT(C74),IF(ISNUMBER(VALUE(SUBSTITUTE(C74,".",","))),VALUE(SUBSTITUTE(C74,".",",")),C74),IF(C74&gt;0,C74/1000,""))</f>
        <v>10.243</v>
      </c>
      <c r="Q74" s="52">
        <f t="shared" si="17"/>
        <v>4973.2560000000003</v>
      </c>
      <c r="R74" s="52">
        <f t="shared" si="19"/>
        <v>23.3</v>
      </c>
      <c r="S74" s="52">
        <f t="shared" si="20"/>
        <v>1560.54</v>
      </c>
      <c r="T74" s="52">
        <f t="shared" si="21"/>
        <v>4938.4930000000004</v>
      </c>
      <c r="U74" s="52">
        <f t="shared" si="22"/>
        <v>843</v>
      </c>
      <c r="V74" s="52" t="str">
        <f t="shared" si="23"/>
        <v/>
      </c>
      <c r="W74" s="93">
        <f t="shared" si="27"/>
        <v>-228.875</v>
      </c>
    </row>
    <row r="75" spans="1:23" x14ac:dyDescent="0.2">
      <c r="A75" s="51" t="s">
        <v>69</v>
      </c>
      <c r="B75" s="51" t="s">
        <v>225</v>
      </c>
      <c r="C75" s="51">
        <v>13494</v>
      </c>
      <c r="D75" s="51">
        <v>6538386</v>
      </c>
      <c r="E75" s="51" t="s">
        <v>313</v>
      </c>
      <c r="F75" s="51">
        <v>2876</v>
      </c>
      <c r="G75" s="51">
        <v>6537274</v>
      </c>
      <c r="H75" s="51" t="s">
        <v>321</v>
      </c>
      <c r="J75" s="51" t="s">
        <v>322</v>
      </c>
      <c r="K75" s="93" t="str">
        <f t="shared" si="24"/>
        <v>Heating Oil</v>
      </c>
      <c r="N75" s="52" t="str">
        <f t="shared" si="25"/>
        <v>TK-824</v>
      </c>
      <c r="O75" s="52" t="str">
        <f t="shared" si="26"/>
        <v>16 Heating Oil</v>
      </c>
      <c r="P75" s="52">
        <f t="shared" ref="P75:P138" si="28">IF(ISTEXT(C75),IF(ISNUMBER(VALUE(SUBSTITUTE(C75,".",","))),VALUE(SUBSTITUTE(C75,".",",")),C75),IF(C75&gt;0,C75/1000,""))</f>
        <v>13.494</v>
      </c>
      <c r="Q75" s="52">
        <f t="shared" si="17"/>
        <v>6538.3860000000004</v>
      </c>
      <c r="R75" s="52">
        <f t="shared" si="19"/>
        <v>17.5</v>
      </c>
      <c r="S75" s="52">
        <f t="shared" si="20"/>
        <v>2.8759999999999999</v>
      </c>
      <c r="T75" s="52">
        <f t="shared" si="21"/>
        <v>6537.2740000000003</v>
      </c>
      <c r="U75" s="52">
        <f t="shared" si="22"/>
        <v>836.4</v>
      </c>
      <c r="V75" s="52" t="str">
        <f t="shared" si="23"/>
        <v/>
      </c>
      <c r="W75" s="93">
        <f t="shared" si="27"/>
        <v>-0.47899999999999998</v>
      </c>
    </row>
    <row r="76" spans="1:23" x14ac:dyDescent="0.2">
      <c r="A76" s="51" t="s">
        <v>110</v>
      </c>
      <c r="B76" s="51" t="s">
        <v>206</v>
      </c>
      <c r="C76" s="51" t="s">
        <v>207</v>
      </c>
      <c r="D76" s="51" t="s">
        <v>110</v>
      </c>
      <c r="E76" s="51" t="s">
        <v>208</v>
      </c>
      <c r="F76" s="51" t="s">
        <v>110</v>
      </c>
      <c r="G76" s="51" t="s">
        <v>110</v>
      </c>
      <c r="H76" s="51" t="s">
        <v>209</v>
      </c>
      <c r="I76" s="51" t="s">
        <v>209</v>
      </c>
      <c r="J76" s="51" t="s">
        <v>110</v>
      </c>
      <c r="K76" s="93" t="str">
        <f t="shared" si="24"/>
        <v>_____________</v>
      </c>
      <c r="N76" s="52" t="str">
        <f t="shared" si="25"/>
        <v>____________</v>
      </c>
      <c r="O76" s="52" t="str">
        <f t="shared" si="26"/>
        <v>________________</v>
      </c>
      <c r="P76" s="52" t="str">
        <f t="shared" si="28"/>
        <v>___________</v>
      </c>
      <c r="Q76" s="52" t="str">
        <f t="shared" si="17"/>
        <v>____________</v>
      </c>
      <c r="R76" s="52" t="str">
        <f t="shared" si="19"/>
        <v/>
      </c>
      <c r="S76" s="52" t="str">
        <f t="shared" si="20"/>
        <v>____________</v>
      </c>
      <c r="T76" s="52" t="str">
        <f t="shared" si="21"/>
        <v>____________</v>
      </c>
      <c r="U76" s="52" t="str">
        <f t="shared" si="22"/>
        <v/>
      </c>
      <c r="V76" s="52" t="str">
        <f t="shared" si="23"/>
        <v>________</v>
      </c>
      <c r="W76" s="93" t="str">
        <f t="shared" si="27"/>
        <v>____________</v>
      </c>
    </row>
    <row r="77" spans="1:23" x14ac:dyDescent="0.2">
      <c r="K77" s="93" t="str">
        <f t="shared" si="24"/>
        <v/>
      </c>
      <c r="N77" s="52" t="str">
        <f t="shared" si="25"/>
        <v/>
      </c>
      <c r="O77" s="52" t="str">
        <f t="shared" si="26"/>
        <v/>
      </c>
      <c r="P77" s="52" t="str">
        <f t="shared" si="28"/>
        <v/>
      </c>
      <c r="Q77" s="52" t="str">
        <f t="shared" si="17"/>
        <v/>
      </c>
      <c r="R77" s="52" t="str">
        <f t="shared" si="19"/>
        <v/>
      </c>
      <c r="S77" s="52" t="str">
        <f t="shared" si="20"/>
        <v/>
      </c>
      <c r="T77" s="52" t="str">
        <f t="shared" si="21"/>
        <v/>
      </c>
      <c r="U77" s="52" t="str">
        <f t="shared" si="22"/>
        <v/>
      </c>
      <c r="V77" s="52" t="str">
        <f t="shared" si="23"/>
        <v/>
      </c>
      <c r="W77" s="93" t="str">
        <f t="shared" si="27"/>
        <v/>
      </c>
    </row>
    <row r="78" spans="1:23" x14ac:dyDescent="0.2">
      <c r="K78" s="93" t="str">
        <f t="shared" si="24"/>
        <v/>
      </c>
      <c r="N78" s="52" t="str">
        <f t="shared" si="25"/>
        <v/>
      </c>
      <c r="O78" s="52" t="str">
        <f t="shared" si="26"/>
        <v/>
      </c>
      <c r="P78" s="52" t="str">
        <f t="shared" si="28"/>
        <v/>
      </c>
      <c r="Q78" s="52" t="str">
        <f t="shared" si="17"/>
        <v/>
      </c>
      <c r="R78" s="52" t="str">
        <f t="shared" si="19"/>
        <v/>
      </c>
      <c r="S78" s="52" t="str">
        <f t="shared" si="20"/>
        <v/>
      </c>
      <c r="T78" s="52" t="str">
        <f t="shared" si="21"/>
        <v/>
      </c>
      <c r="U78" s="52" t="str">
        <f t="shared" si="22"/>
        <v/>
      </c>
      <c r="V78" s="52" t="str">
        <f t="shared" si="23"/>
        <v/>
      </c>
      <c r="W78" s="93" t="str">
        <f t="shared" si="27"/>
        <v/>
      </c>
    </row>
    <row r="79" spans="1:23" x14ac:dyDescent="0.2">
      <c r="A79" s="51" t="s">
        <v>80</v>
      </c>
      <c r="B79" s="51" t="s">
        <v>226</v>
      </c>
      <c r="C79" s="51" t="s">
        <v>323</v>
      </c>
      <c r="D79" s="51">
        <v>86593</v>
      </c>
      <c r="E79" s="51" t="s">
        <v>324</v>
      </c>
      <c r="F79" s="51">
        <v>1471401</v>
      </c>
      <c r="G79" s="51">
        <v>86861</v>
      </c>
      <c r="H79" s="51" t="s">
        <v>325</v>
      </c>
      <c r="I79" s="51" t="s">
        <v>309</v>
      </c>
      <c r="J79" s="51" t="s">
        <v>326</v>
      </c>
      <c r="K79" s="93" t="str">
        <f t="shared" si="24"/>
        <v>Dies BIO</v>
      </c>
      <c r="N79" s="52" t="str">
        <f t="shared" si="25"/>
        <v>TK-826</v>
      </c>
      <c r="O79" s="52" t="str">
        <f t="shared" si="26"/>
        <v>17 Dies BIO</v>
      </c>
      <c r="P79" s="52">
        <f t="shared" si="28"/>
        <v>0.60499999999999998</v>
      </c>
      <c r="Q79" s="52">
        <f t="shared" si="17"/>
        <v>86.593000000000004</v>
      </c>
      <c r="R79" s="52">
        <f t="shared" si="19"/>
        <v>11.3</v>
      </c>
      <c r="S79" s="52">
        <f t="shared" si="20"/>
        <v>1471.4010000000001</v>
      </c>
      <c r="T79" s="52">
        <f t="shared" si="21"/>
        <v>86.861000000000004</v>
      </c>
      <c r="U79" s="52">
        <f t="shared" si="22"/>
        <v>827.7</v>
      </c>
      <c r="V79" s="52" t="str">
        <f t="shared" si="23"/>
        <v>Low</v>
      </c>
      <c r="W79" s="93">
        <f t="shared" si="27"/>
        <v>0.79900000000000004</v>
      </c>
    </row>
    <row r="80" spans="1:23" x14ac:dyDescent="0.2">
      <c r="A80" s="51" t="s">
        <v>72</v>
      </c>
      <c r="B80" s="51" t="s">
        <v>226</v>
      </c>
      <c r="C80" s="51">
        <v>3612</v>
      </c>
      <c r="D80" s="51">
        <v>2225662</v>
      </c>
      <c r="E80" s="51" t="s">
        <v>327</v>
      </c>
      <c r="F80" s="51">
        <v>5976249</v>
      </c>
      <c r="G80" s="51">
        <v>2190497</v>
      </c>
      <c r="H80" s="51" t="s">
        <v>328</v>
      </c>
      <c r="J80" s="51">
        <v>-71370</v>
      </c>
      <c r="K80" s="93" t="str">
        <f t="shared" si="24"/>
        <v>Dies BIO</v>
      </c>
      <c r="N80" s="52" t="str">
        <f t="shared" si="25"/>
        <v>TK-836</v>
      </c>
      <c r="O80" s="52" t="str">
        <f t="shared" si="26"/>
        <v>17 Dies BIO</v>
      </c>
      <c r="P80" s="52">
        <f t="shared" si="28"/>
        <v>3.6120000000000001</v>
      </c>
      <c r="Q80" s="52">
        <f t="shared" si="17"/>
        <v>2225.6619999999998</v>
      </c>
      <c r="R80" s="52">
        <f t="shared" si="19"/>
        <v>12.8</v>
      </c>
      <c r="S80" s="52">
        <f t="shared" si="20"/>
        <v>5976.2489999999998</v>
      </c>
      <c r="T80" s="52">
        <f t="shared" si="21"/>
        <v>2190.4969999999998</v>
      </c>
      <c r="U80" s="52">
        <f t="shared" si="22"/>
        <v>827.6</v>
      </c>
      <c r="V80" s="52" t="str">
        <f t="shared" si="23"/>
        <v/>
      </c>
      <c r="W80" s="93">
        <f t="shared" si="27"/>
        <v>-71.37</v>
      </c>
    </row>
    <row r="81" spans="1:23" x14ac:dyDescent="0.2">
      <c r="A81" s="51" t="s">
        <v>110</v>
      </c>
      <c r="B81" s="51" t="s">
        <v>206</v>
      </c>
      <c r="C81" s="51" t="s">
        <v>207</v>
      </c>
      <c r="D81" s="51" t="s">
        <v>110</v>
      </c>
      <c r="E81" s="51" t="s">
        <v>208</v>
      </c>
      <c r="F81" s="51" t="s">
        <v>110</v>
      </c>
      <c r="G81" s="51" t="s">
        <v>110</v>
      </c>
      <c r="H81" s="51" t="s">
        <v>209</v>
      </c>
      <c r="I81" s="51" t="s">
        <v>209</v>
      </c>
      <c r="J81" s="51" t="s">
        <v>110</v>
      </c>
      <c r="K81" s="93" t="str">
        <f t="shared" si="24"/>
        <v>_____________</v>
      </c>
      <c r="N81" s="52" t="str">
        <f t="shared" si="25"/>
        <v>____________</v>
      </c>
      <c r="O81" s="52" t="str">
        <f t="shared" si="26"/>
        <v>________________</v>
      </c>
      <c r="P81" s="52" t="str">
        <f t="shared" si="28"/>
        <v>___________</v>
      </c>
      <c r="Q81" s="52" t="str">
        <f t="shared" si="17"/>
        <v>____________</v>
      </c>
      <c r="R81" s="52" t="str">
        <f t="shared" si="19"/>
        <v/>
      </c>
      <c r="S81" s="52" t="str">
        <f t="shared" si="20"/>
        <v>____________</v>
      </c>
      <c r="T81" s="52" t="str">
        <f t="shared" si="21"/>
        <v>____________</v>
      </c>
      <c r="U81" s="52" t="str">
        <f t="shared" si="22"/>
        <v/>
      </c>
      <c r="V81" s="52" t="str">
        <f t="shared" si="23"/>
        <v>________</v>
      </c>
      <c r="W81" s="93" t="str">
        <f t="shared" si="27"/>
        <v>____________</v>
      </c>
    </row>
    <row r="82" spans="1:23" x14ac:dyDescent="0.2">
      <c r="K82" s="93" t="str">
        <f t="shared" si="24"/>
        <v/>
      </c>
      <c r="N82" s="52" t="str">
        <f t="shared" si="25"/>
        <v/>
      </c>
      <c r="O82" s="52" t="str">
        <f t="shared" si="26"/>
        <v/>
      </c>
      <c r="P82" s="52" t="str">
        <f t="shared" si="28"/>
        <v/>
      </c>
      <c r="Q82" s="52" t="str">
        <f t="shared" si="17"/>
        <v/>
      </c>
      <c r="R82" s="52" t="str">
        <f t="shared" si="19"/>
        <v/>
      </c>
      <c r="S82" s="52" t="str">
        <f t="shared" si="20"/>
        <v/>
      </c>
      <c r="T82" s="52" t="str">
        <f t="shared" si="21"/>
        <v/>
      </c>
      <c r="U82" s="52" t="str">
        <f t="shared" si="22"/>
        <v/>
      </c>
      <c r="V82" s="52" t="str">
        <f t="shared" si="23"/>
        <v/>
      </c>
      <c r="W82" s="93" t="str">
        <f t="shared" si="27"/>
        <v/>
      </c>
    </row>
    <row r="83" spans="1:23" x14ac:dyDescent="0.2">
      <c r="K83" s="93" t="str">
        <f t="shared" si="24"/>
        <v/>
      </c>
      <c r="N83" s="52" t="str">
        <f t="shared" si="25"/>
        <v/>
      </c>
      <c r="O83" s="52" t="str">
        <f t="shared" si="26"/>
        <v/>
      </c>
      <c r="P83" s="52" t="str">
        <f t="shared" si="28"/>
        <v/>
      </c>
      <c r="Q83" s="52" t="str">
        <f t="shared" si="17"/>
        <v/>
      </c>
      <c r="R83" s="52" t="str">
        <f t="shared" si="19"/>
        <v/>
      </c>
      <c r="S83" s="52" t="str">
        <f t="shared" si="20"/>
        <v/>
      </c>
      <c r="T83" s="52" t="str">
        <f t="shared" si="21"/>
        <v/>
      </c>
      <c r="U83" s="52" t="str">
        <f t="shared" si="22"/>
        <v/>
      </c>
      <c r="V83" s="52" t="str">
        <f t="shared" si="23"/>
        <v/>
      </c>
      <c r="W83" s="93" t="str">
        <f t="shared" si="27"/>
        <v/>
      </c>
    </row>
    <row r="84" spans="1:23" x14ac:dyDescent="0.2">
      <c r="A84" s="51" t="s">
        <v>71</v>
      </c>
      <c r="B84" s="51" t="s">
        <v>227</v>
      </c>
      <c r="C84" s="51">
        <v>3433</v>
      </c>
      <c r="D84" s="51">
        <v>2709203</v>
      </c>
      <c r="E84" s="51" t="s">
        <v>251</v>
      </c>
      <c r="F84" s="51">
        <v>7789607</v>
      </c>
      <c r="G84" s="51">
        <v>2702836</v>
      </c>
      <c r="H84" s="51" t="s">
        <v>329</v>
      </c>
      <c r="J84" s="51" t="s">
        <v>253</v>
      </c>
      <c r="K84" s="93" t="str">
        <f t="shared" si="24"/>
        <v>Diesel</v>
      </c>
      <c r="N84" s="52" t="str">
        <f t="shared" si="25"/>
        <v>TK-825</v>
      </c>
      <c r="O84" s="52" t="str">
        <f t="shared" si="26"/>
        <v>17 Diesel</v>
      </c>
      <c r="P84" s="52">
        <f t="shared" si="28"/>
        <v>3.4329999999999998</v>
      </c>
      <c r="Q84" s="52">
        <f t="shared" si="17"/>
        <v>2709.203</v>
      </c>
      <c r="R84" s="52">
        <f t="shared" si="19"/>
        <v>17.7</v>
      </c>
      <c r="S84" s="52">
        <f t="shared" si="20"/>
        <v>7789.607</v>
      </c>
      <c r="T84" s="52">
        <f t="shared" si="21"/>
        <v>2702.8359999999998</v>
      </c>
      <c r="U84" s="52">
        <f t="shared" si="22"/>
        <v>827.3</v>
      </c>
      <c r="V84" s="52" t="str">
        <f t="shared" si="23"/>
        <v/>
      </c>
      <c r="W84" s="93">
        <f t="shared" si="27"/>
        <v>-0.12</v>
      </c>
    </row>
    <row r="85" spans="1:23" x14ac:dyDescent="0.2">
      <c r="A85" s="51" t="s">
        <v>74</v>
      </c>
      <c r="B85" s="51" t="s">
        <v>227</v>
      </c>
      <c r="C85" s="51">
        <v>7171</v>
      </c>
      <c r="D85" s="51">
        <v>9706834</v>
      </c>
      <c r="E85" s="51" t="s">
        <v>287</v>
      </c>
      <c r="F85" s="51">
        <v>8968040</v>
      </c>
      <c r="G85" s="51">
        <v>9669463</v>
      </c>
      <c r="H85" s="51" t="s">
        <v>330</v>
      </c>
      <c r="J85" s="51">
        <v>-2281455</v>
      </c>
      <c r="K85" s="93" t="str">
        <f t="shared" si="24"/>
        <v>Diesel</v>
      </c>
      <c r="N85" s="52" t="str">
        <f t="shared" si="25"/>
        <v>TK-846</v>
      </c>
      <c r="O85" s="52" t="str">
        <f t="shared" si="26"/>
        <v>17 Diesel</v>
      </c>
      <c r="P85" s="52">
        <f t="shared" si="28"/>
        <v>7.1710000000000003</v>
      </c>
      <c r="Q85" s="52">
        <f t="shared" si="17"/>
        <v>9706.8340000000007</v>
      </c>
      <c r="R85" s="52">
        <f t="shared" si="19"/>
        <v>20.100000000000001</v>
      </c>
      <c r="S85" s="52">
        <f t="shared" si="20"/>
        <v>8968.0400000000009</v>
      </c>
      <c r="T85" s="52">
        <f t="shared" si="21"/>
        <v>9669.4629999999997</v>
      </c>
      <c r="U85" s="52">
        <f t="shared" si="22"/>
        <v>826.3</v>
      </c>
      <c r="V85" s="52" t="str">
        <f t="shared" si="23"/>
        <v/>
      </c>
      <c r="W85" s="93">
        <f t="shared" si="27"/>
        <v>-2281.4549999999999</v>
      </c>
    </row>
    <row r="86" spans="1:23" x14ac:dyDescent="0.2">
      <c r="A86" s="51" t="s">
        <v>76</v>
      </c>
      <c r="B86" s="51" t="s">
        <v>227</v>
      </c>
      <c r="C86" s="51">
        <v>5722</v>
      </c>
      <c r="D86" s="51">
        <v>5693455</v>
      </c>
      <c r="E86" s="51" t="s">
        <v>331</v>
      </c>
      <c r="F86" s="51">
        <v>7982456</v>
      </c>
      <c r="G86" s="51">
        <v>5656846</v>
      </c>
      <c r="H86" s="51" t="s">
        <v>332</v>
      </c>
      <c r="J86" s="51">
        <v>202087</v>
      </c>
      <c r="K86" s="93" t="str">
        <f t="shared" si="24"/>
        <v>Diesel</v>
      </c>
      <c r="N86" s="52" t="str">
        <f t="shared" si="25"/>
        <v>TK-857</v>
      </c>
      <c r="O86" s="52" t="str">
        <f t="shared" si="26"/>
        <v>17 Diesel</v>
      </c>
      <c r="P86" s="52">
        <f t="shared" si="28"/>
        <v>5.7220000000000004</v>
      </c>
      <c r="Q86" s="52">
        <f t="shared" si="17"/>
        <v>5693.4549999999999</v>
      </c>
      <c r="R86" s="52">
        <f t="shared" si="19"/>
        <v>22.6</v>
      </c>
      <c r="S86" s="52">
        <f t="shared" si="20"/>
        <v>7982.4560000000001</v>
      </c>
      <c r="T86" s="52">
        <f t="shared" si="21"/>
        <v>5656.8459999999995</v>
      </c>
      <c r="U86" s="52">
        <f t="shared" si="22"/>
        <v>826.6</v>
      </c>
      <c r="V86" s="52" t="str">
        <f t="shared" si="23"/>
        <v/>
      </c>
      <c r="W86" s="93">
        <f t="shared" si="27"/>
        <v>202.08699999999999</v>
      </c>
    </row>
    <row r="87" spans="1:23" x14ac:dyDescent="0.2">
      <c r="A87" s="51" t="s">
        <v>110</v>
      </c>
      <c r="B87" s="51" t="s">
        <v>206</v>
      </c>
      <c r="C87" s="51" t="s">
        <v>207</v>
      </c>
      <c r="D87" s="51" t="s">
        <v>110</v>
      </c>
      <c r="E87" s="51" t="s">
        <v>208</v>
      </c>
      <c r="F87" s="51" t="s">
        <v>110</v>
      </c>
      <c r="G87" s="51" t="s">
        <v>110</v>
      </c>
      <c r="H87" s="51" t="s">
        <v>209</v>
      </c>
      <c r="I87" s="51" t="s">
        <v>209</v>
      </c>
      <c r="J87" s="51" t="s">
        <v>110</v>
      </c>
      <c r="K87" s="93" t="str">
        <f t="shared" si="24"/>
        <v>_____________</v>
      </c>
      <c r="N87" s="52" t="str">
        <f t="shared" si="25"/>
        <v>____________</v>
      </c>
      <c r="O87" s="52" t="str">
        <f t="shared" si="26"/>
        <v>________________</v>
      </c>
      <c r="P87" s="52" t="str">
        <f t="shared" si="28"/>
        <v>___________</v>
      </c>
      <c r="Q87" s="52" t="str">
        <f t="shared" si="17"/>
        <v>____________</v>
      </c>
      <c r="R87" s="52" t="str">
        <f t="shared" si="19"/>
        <v/>
      </c>
      <c r="S87" s="52" t="str">
        <f t="shared" si="20"/>
        <v>____________</v>
      </c>
      <c r="T87" s="52" t="str">
        <f t="shared" si="21"/>
        <v>____________</v>
      </c>
      <c r="U87" s="52" t="str">
        <f t="shared" si="22"/>
        <v/>
      </c>
      <c r="V87" s="52" t="str">
        <f t="shared" si="23"/>
        <v>________</v>
      </c>
      <c r="W87" s="93" t="str">
        <f t="shared" si="27"/>
        <v>____________</v>
      </c>
    </row>
    <row r="88" spans="1:23" x14ac:dyDescent="0.2">
      <c r="K88" s="93" t="str">
        <f t="shared" si="24"/>
        <v/>
      </c>
      <c r="N88" s="52" t="str">
        <f t="shared" si="25"/>
        <v/>
      </c>
      <c r="O88" s="52" t="str">
        <f t="shared" si="26"/>
        <v/>
      </c>
      <c r="P88" s="52" t="str">
        <f t="shared" si="28"/>
        <v/>
      </c>
      <c r="Q88" s="52" t="str">
        <f t="shared" si="17"/>
        <v/>
      </c>
      <c r="R88" s="52" t="str">
        <f t="shared" si="19"/>
        <v/>
      </c>
      <c r="S88" s="52" t="str">
        <f t="shared" si="20"/>
        <v/>
      </c>
      <c r="T88" s="52" t="str">
        <f t="shared" si="21"/>
        <v/>
      </c>
      <c r="U88" s="52" t="str">
        <f t="shared" si="22"/>
        <v/>
      </c>
      <c r="V88" s="52" t="str">
        <f t="shared" si="23"/>
        <v/>
      </c>
      <c r="W88" s="93" t="str">
        <f t="shared" si="27"/>
        <v/>
      </c>
    </row>
    <row r="89" spans="1:23" x14ac:dyDescent="0.2">
      <c r="K89" s="93" t="str">
        <f t="shared" si="24"/>
        <v/>
      </c>
      <c r="N89" s="52" t="str">
        <f t="shared" si="25"/>
        <v/>
      </c>
      <c r="O89" s="52" t="str">
        <f t="shared" si="26"/>
        <v/>
      </c>
      <c r="P89" s="52" t="str">
        <f t="shared" si="28"/>
        <v/>
      </c>
      <c r="Q89" s="52" t="str">
        <f t="shared" si="17"/>
        <v/>
      </c>
      <c r="R89" s="52" t="str">
        <f t="shared" si="19"/>
        <v/>
      </c>
      <c r="S89" s="52" t="str">
        <f t="shared" si="20"/>
        <v/>
      </c>
      <c r="T89" s="52" t="str">
        <f t="shared" si="21"/>
        <v/>
      </c>
      <c r="U89" s="52" t="str">
        <f t="shared" si="22"/>
        <v/>
      </c>
      <c r="V89" s="52" t="str">
        <f t="shared" si="23"/>
        <v/>
      </c>
      <c r="W89" s="93" t="str">
        <f t="shared" si="27"/>
        <v/>
      </c>
    </row>
    <row r="90" spans="1:23" x14ac:dyDescent="0.2">
      <c r="A90" s="51" t="s">
        <v>31</v>
      </c>
      <c r="B90" s="51" t="s">
        <v>228</v>
      </c>
      <c r="C90" s="51">
        <v>10964</v>
      </c>
      <c r="D90" s="51">
        <v>1542647</v>
      </c>
      <c r="E90" s="51" t="s">
        <v>252</v>
      </c>
      <c r="F90" s="51">
        <v>-19141</v>
      </c>
      <c r="G90" s="51">
        <v>1527344</v>
      </c>
      <c r="H90" s="51" t="s">
        <v>333</v>
      </c>
      <c r="J90" s="51" t="s">
        <v>334</v>
      </c>
      <c r="K90" s="93" t="str">
        <f t="shared" si="24"/>
        <v>Diesel Mar</v>
      </c>
      <c r="N90" s="52" t="str">
        <f t="shared" si="25"/>
        <v>TK-812</v>
      </c>
      <c r="O90" s="52" t="str">
        <f t="shared" si="26"/>
        <v>18 Diesel Mar</v>
      </c>
      <c r="P90" s="52">
        <f t="shared" si="28"/>
        <v>10.964</v>
      </c>
      <c r="Q90" s="52">
        <f t="shared" si="17"/>
        <v>1542.6469999999999</v>
      </c>
      <c r="R90" s="52">
        <f t="shared" si="19"/>
        <v>12.7</v>
      </c>
      <c r="S90" s="52" t="str">
        <f t="shared" si="20"/>
        <v/>
      </c>
      <c r="T90" s="52">
        <f t="shared" si="21"/>
        <v>1527.3440000000001</v>
      </c>
      <c r="U90" s="52">
        <f t="shared" si="22"/>
        <v>838</v>
      </c>
      <c r="V90" s="52" t="str">
        <f t="shared" si="23"/>
        <v/>
      </c>
      <c r="W90" s="93">
        <f t="shared" si="27"/>
        <v>0.28000000000000003</v>
      </c>
    </row>
    <row r="91" spans="1:23" x14ac:dyDescent="0.2">
      <c r="A91" s="51" t="s">
        <v>78</v>
      </c>
      <c r="B91" s="51" t="s">
        <v>228</v>
      </c>
      <c r="C91" s="51">
        <v>5185</v>
      </c>
      <c r="D91" s="51">
        <v>402159</v>
      </c>
      <c r="E91" s="51" t="s">
        <v>296</v>
      </c>
      <c r="F91" s="51">
        <v>230683</v>
      </c>
      <c r="G91" s="51">
        <v>401954</v>
      </c>
      <c r="H91" s="51" t="s">
        <v>335</v>
      </c>
      <c r="J91" s="51">
        <v>-115870</v>
      </c>
      <c r="K91" s="93" t="str">
        <f t="shared" si="24"/>
        <v>Diesel Mar</v>
      </c>
      <c r="N91" s="52" t="str">
        <f t="shared" si="25"/>
        <v>TK-813</v>
      </c>
      <c r="O91" s="52" t="str">
        <f t="shared" si="26"/>
        <v>18 Diesel Mar</v>
      </c>
      <c r="P91" s="52">
        <f t="shared" si="28"/>
        <v>5.1849999999999996</v>
      </c>
      <c r="Q91" s="52">
        <f t="shared" si="17"/>
        <v>402.15899999999999</v>
      </c>
      <c r="R91" s="52">
        <f t="shared" si="19"/>
        <v>15.6</v>
      </c>
      <c r="S91" s="52">
        <f t="shared" si="20"/>
        <v>230.68299999999999</v>
      </c>
      <c r="T91" s="52">
        <f t="shared" si="21"/>
        <v>401.95400000000001</v>
      </c>
      <c r="U91" s="52">
        <f t="shared" si="22"/>
        <v>838.9</v>
      </c>
      <c r="V91" s="52" t="str">
        <f t="shared" si="23"/>
        <v/>
      </c>
      <c r="W91" s="93">
        <f t="shared" si="27"/>
        <v>-115.87</v>
      </c>
    </row>
    <row r="92" spans="1:23" x14ac:dyDescent="0.2">
      <c r="A92" s="51" t="s">
        <v>110</v>
      </c>
      <c r="B92" s="51" t="s">
        <v>206</v>
      </c>
      <c r="C92" s="51" t="s">
        <v>207</v>
      </c>
      <c r="D92" s="51" t="s">
        <v>110</v>
      </c>
      <c r="E92" s="51" t="s">
        <v>208</v>
      </c>
      <c r="F92" s="51" t="s">
        <v>110</v>
      </c>
      <c r="G92" s="51" t="s">
        <v>110</v>
      </c>
      <c r="H92" s="51" t="s">
        <v>209</v>
      </c>
      <c r="I92" s="51" t="s">
        <v>209</v>
      </c>
      <c r="J92" s="51" t="s">
        <v>110</v>
      </c>
      <c r="K92" s="93" t="str">
        <f t="shared" si="24"/>
        <v>_____________</v>
      </c>
      <c r="N92" s="52" t="str">
        <f t="shared" si="25"/>
        <v>____________</v>
      </c>
      <c r="O92" s="52" t="str">
        <f t="shared" si="26"/>
        <v>________________</v>
      </c>
      <c r="P92" s="52" t="str">
        <f t="shared" si="28"/>
        <v>___________</v>
      </c>
      <c r="Q92" s="52" t="str">
        <f t="shared" si="17"/>
        <v>____________</v>
      </c>
      <c r="R92" s="52" t="str">
        <f t="shared" si="19"/>
        <v/>
      </c>
      <c r="S92" s="52" t="str">
        <f t="shared" si="20"/>
        <v>____________</v>
      </c>
      <c r="T92" s="52" t="str">
        <f t="shared" si="21"/>
        <v>____________</v>
      </c>
      <c r="U92" s="52" t="str">
        <f t="shared" si="22"/>
        <v/>
      </c>
      <c r="V92" s="52" t="str">
        <f t="shared" si="23"/>
        <v>________</v>
      </c>
      <c r="W92" s="93" t="str">
        <f t="shared" si="27"/>
        <v>____________</v>
      </c>
    </row>
    <row r="93" spans="1:23" x14ac:dyDescent="0.2">
      <c r="K93" s="93" t="str">
        <f t="shared" si="24"/>
        <v/>
      </c>
      <c r="N93" s="52" t="str">
        <f t="shared" si="25"/>
        <v/>
      </c>
      <c r="O93" s="52" t="str">
        <f t="shared" si="26"/>
        <v/>
      </c>
      <c r="P93" s="52" t="str">
        <f t="shared" si="28"/>
        <v/>
      </c>
      <c r="Q93" s="52" t="str">
        <f t="shared" si="17"/>
        <v/>
      </c>
      <c r="R93" s="52" t="str">
        <f t="shared" si="19"/>
        <v/>
      </c>
      <c r="S93" s="52" t="str">
        <f t="shared" si="20"/>
        <v/>
      </c>
      <c r="T93" s="52" t="str">
        <f t="shared" si="21"/>
        <v/>
      </c>
      <c r="U93" s="52" t="str">
        <f t="shared" si="22"/>
        <v/>
      </c>
      <c r="V93" s="52" t="str">
        <f t="shared" si="23"/>
        <v/>
      </c>
      <c r="W93" s="93" t="str">
        <f t="shared" si="27"/>
        <v/>
      </c>
    </row>
    <row r="94" spans="1:23" x14ac:dyDescent="0.2">
      <c r="K94" s="93" t="str">
        <f t="shared" si="24"/>
        <v/>
      </c>
      <c r="N94" s="52" t="str">
        <f t="shared" si="25"/>
        <v/>
      </c>
      <c r="O94" s="52" t="str">
        <f t="shared" si="26"/>
        <v/>
      </c>
      <c r="P94" s="52" t="str">
        <f t="shared" si="28"/>
        <v/>
      </c>
      <c r="Q94" s="52" t="str">
        <f t="shared" si="17"/>
        <v/>
      </c>
      <c r="R94" s="52" t="str">
        <f t="shared" si="19"/>
        <v/>
      </c>
      <c r="S94" s="52" t="str">
        <f t="shared" si="20"/>
        <v/>
      </c>
      <c r="T94" s="52" t="str">
        <f t="shared" si="21"/>
        <v/>
      </c>
      <c r="U94" s="52" t="str">
        <f t="shared" si="22"/>
        <v/>
      </c>
      <c r="V94" s="52" t="str">
        <f t="shared" si="23"/>
        <v/>
      </c>
      <c r="W94" s="93" t="str">
        <f t="shared" si="27"/>
        <v/>
      </c>
    </row>
    <row r="95" spans="1:23" x14ac:dyDescent="0.2">
      <c r="A95" s="51" t="s">
        <v>82</v>
      </c>
      <c r="B95" s="51" t="s">
        <v>229</v>
      </c>
      <c r="C95" s="51">
        <v>3172</v>
      </c>
      <c r="D95" s="51">
        <v>1085976</v>
      </c>
      <c r="E95" s="51" t="s">
        <v>247</v>
      </c>
      <c r="F95" s="51">
        <v>3383981</v>
      </c>
      <c r="G95" s="51">
        <v>1088800</v>
      </c>
      <c r="H95" s="51" t="s">
        <v>336</v>
      </c>
      <c r="J95" s="51" t="s">
        <v>337</v>
      </c>
      <c r="K95" s="93" t="str">
        <f t="shared" si="24"/>
        <v>Diesel Mil</v>
      </c>
      <c r="N95" s="52" t="str">
        <f t="shared" si="25"/>
        <v>TK-835</v>
      </c>
      <c r="O95" s="52" t="str">
        <f t="shared" si="26"/>
        <v>19 Diesel Mil</v>
      </c>
      <c r="P95" s="52">
        <f t="shared" si="28"/>
        <v>3.1720000000000002</v>
      </c>
      <c r="Q95" s="52">
        <f t="shared" si="17"/>
        <v>1085.9760000000001</v>
      </c>
      <c r="R95" s="52">
        <f t="shared" si="19"/>
        <v>12.6</v>
      </c>
      <c r="S95" s="52">
        <f t="shared" si="20"/>
        <v>3383.9810000000002</v>
      </c>
      <c r="T95" s="52">
        <f t="shared" si="21"/>
        <v>1088.8</v>
      </c>
      <c r="U95" s="52">
        <f t="shared" si="22"/>
        <v>812.3</v>
      </c>
      <c r="V95" s="52" t="str">
        <f t="shared" si="23"/>
        <v/>
      </c>
      <c r="W95" s="93">
        <f t="shared" si="27"/>
        <v>0.67600000000000005</v>
      </c>
    </row>
    <row r="96" spans="1:23" x14ac:dyDescent="0.2">
      <c r="A96" s="51" t="s">
        <v>110</v>
      </c>
      <c r="B96" s="51" t="s">
        <v>206</v>
      </c>
      <c r="C96" s="51" t="s">
        <v>207</v>
      </c>
      <c r="D96" s="51" t="s">
        <v>110</v>
      </c>
      <c r="E96" s="51" t="s">
        <v>208</v>
      </c>
      <c r="F96" s="51" t="s">
        <v>110</v>
      </c>
      <c r="G96" s="51" t="s">
        <v>110</v>
      </c>
      <c r="H96" s="51" t="s">
        <v>209</v>
      </c>
      <c r="I96" s="51" t="s">
        <v>209</v>
      </c>
      <c r="J96" s="51" t="s">
        <v>110</v>
      </c>
      <c r="K96" s="93" t="str">
        <f t="shared" si="24"/>
        <v>_____________</v>
      </c>
      <c r="N96" s="52" t="str">
        <f t="shared" si="25"/>
        <v>____________</v>
      </c>
      <c r="O96" s="52" t="str">
        <f t="shared" si="26"/>
        <v>________________</v>
      </c>
      <c r="P96" s="52" t="str">
        <f t="shared" si="28"/>
        <v>___________</v>
      </c>
      <c r="Q96" s="52" t="str">
        <f t="shared" si="17"/>
        <v>____________</v>
      </c>
      <c r="R96" s="52" t="str">
        <f t="shared" si="19"/>
        <v/>
      </c>
      <c r="S96" s="52" t="str">
        <f t="shared" si="20"/>
        <v>____________</v>
      </c>
      <c r="T96" s="52" t="str">
        <f t="shared" si="21"/>
        <v>____________</v>
      </c>
      <c r="U96" s="52" t="str">
        <f t="shared" si="22"/>
        <v/>
      </c>
      <c r="V96" s="52" t="str">
        <f t="shared" si="23"/>
        <v>________</v>
      </c>
      <c r="W96" s="93" t="str">
        <f t="shared" si="27"/>
        <v>____________</v>
      </c>
    </row>
    <row r="97" spans="1:23" x14ac:dyDescent="0.2">
      <c r="K97" s="93" t="str">
        <f t="shared" si="24"/>
        <v/>
      </c>
      <c r="N97" s="52" t="str">
        <f t="shared" si="25"/>
        <v/>
      </c>
      <c r="O97" s="52" t="str">
        <f t="shared" si="26"/>
        <v/>
      </c>
      <c r="P97" s="52" t="str">
        <f t="shared" si="28"/>
        <v/>
      </c>
      <c r="Q97" s="52" t="str">
        <f t="shared" si="17"/>
        <v/>
      </c>
      <c r="R97" s="52" t="str">
        <f t="shared" si="19"/>
        <v/>
      </c>
      <c r="S97" s="52" t="str">
        <f t="shared" si="20"/>
        <v/>
      </c>
      <c r="T97" s="52" t="str">
        <f t="shared" si="21"/>
        <v/>
      </c>
      <c r="U97" s="52" t="str">
        <f t="shared" si="22"/>
        <v/>
      </c>
      <c r="V97" s="52" t="str">
        <f t="shared" si="23"/>
        <v/>
      </c>
      <c r="W97" s="93" t="str">
        <f t="shared" si="27"/>
        <v/>
      </c>
    </row>
    <row r="98" spans="1:23" x14ac:dyDescent="0.2">
      <c r="K98" s="93" t="str">
        <f t="shared" si="24"/>
        <v/>
      </c>
      <c r="N98" s="52" t="str">
        <f t="shared" si="25"/>
        <v/>
      </c>
      <c r="O98" s="52" t="str">
        <f t="shared" si="26"/>
        <v/>
      </c>
      <c r="P98" s="52" t="str">
        <f t="shared" si="28"/>
        <v/>
      </c>
      <c r="Q98" s="52" t="str">
        <f t="shared" si="17"/>
        <v/>
      </c>
      <c r="R98" s="52" t="str">
        <f t="shared" si="19"/>
        <v/>
      </c>
      <c r="S98" s="52" t="str">
        <f t="shared" si="20"/>
        <v/>
      </c>
      <c r="T98" s="52" t="str">
        <f t="shared" si="21"/>
        <v/>
      </c>
      <c r="U98" s="52" t="str">
        <f t="shared" si="22"/>
        <v/>
      </c>
      <c r="V98" s="52" t="str">
        <f t="shared" si="23"/>
        <v/>
      </c>
      <c r="W98" s="93" t="str">
        <f t="shared" si="27"/>
        <v/>
      </c>
    </row>
    <row r="99" spans="1:23" x14ac:dyDescent="0.2">
      <c r="A99" s="51" t="s">
        <v>94</v>
      </c>
      <c r="B99" s="51" t="s">
        <v>230</v>
      </c>
      <c r="C99" s="51">
        <v>3107</v>
      </c>
      <c r="D99" s="51">
        <v>5443078</v>
      </c>
      <c r="E99" s="51" t="s">
        <v>338</v>
      </c>
      <c r="F99" s="51">
        <v>17891925</v>
      </c>
      <c r="G99" s="51">
        <v>5263021</v>
      </c>
      <c r="H99" s="51" t="s">
        <v>339</v>
      </c>
      <c r="J99" s="51">
        <v>2539299</v>
      </c>
      <c r="K99" s="93" t="str">
        <f t="shared" si="24"/>
        <v>FO SR</v>
      </c>
      <c r="N99" s="52" t="str">
        <f t="shared" si="25"/>
        <v>TK-845</v>
      </c>
      <c r="O99" s="52" t="str">
        <f t="shared" si="26"/>
        <v>26 FO SR</v>
      </c>
      <c r="P99" s="52">
        <f t="shared" si="28"/>
        <v>3.1070000000000002</v>
      </c>
      <c r="Q99" s="52">
        <f t="shared" si="17"/>
        <v>5443.0780000000004</v>
      </c>
      <c r="R99" s="52">
        <f t="shared" ref="R99:R130" si="29">IF(ISNUMBER(VALUE(SUBSTITUTE(E99,".",","))),VALUE(SUBSTITUTE(E99,".",",")),"")</f>
        <v>61.7</v>
      </c>
      <c r="S99" s="52">
        <f t="shared" ref="S99:S130" si="30">IF(ISTEXT(F99),F99,IF(F99&gt;0,F99/1000,""))</f>
        <v>17891.924999999999</v>
      </c>
      <c r="T99" s="52">
        <f t="shared" ref="T99:T130" si="31">IF(ISTEXT(G99),G99,IF(G99&gt;0,G99/1000,""))</f>
        <v>5263.0209999999997</v>
      </c>
      <c r="U99" s="52">
        <f t="shared" ref="U99:U130" si="32">IF(ISNUMBER(VALUE(SUBSTITUTE(H99,".",","))),VALUE(SUBSTITUTE(H99,".",",")),"")</f>
        <v>967.9</v>
      </c>
      <c r="V99" s="52" t="str">
        <f t="shared" ref="V99:V130" si="33">IF(ISTEXT(I99),I99,"")</f>
        <v/>
      </c>
      <c r="W99" s="93">
        <f t="shared" si="27"/>
        <v>2539.299</v>
      </c>
    </row>
    <row r="100" spans="1:23" x14ac:dyDescent="0.2">
      <c r="A100" s="51" t="s">
        <v>90</v>
      </c>
      <c r="B100" s="51" t="s">
        <v>230</v>
      </c>
      <c r="C100" s="51" t="s">
        <v>340</v>
      </c>
      <c r="D100" s="51">
        <v>1221743</v>
      </c>
      <c r="E100" s="51" t="s">
        <v>341</v>
      </c>
      <c r="F100" s="51">
        <v>21980599</v>
      </c>
      <c r="G100" s="51">
        <v>1164077</v>
      </c>
      <c r="H100" s="51" t="s">
        <v>342</v>
      </c>
      <c r="I100" s="51" t="s">
        <v>211</v>
      </c>
      <c r="J100" s="51">
        <v>1566</v>
      </c>
      <c r="K100" s="93" t="str">
        <f t="shared" si="24"/>
        <v>FO SR</v>
      </c>
      <c r="N100" s="52" t="str">
        <f t="shared" si="25"/>
        <v>TK-855</v>
      </c>
      <c r="O100" s="52" t="str">
        <f t="shared" si="26"/>
        <v>26 FO SR</v>
      </c>
      <c r="P100" s="52">
        <f t="shared" si="28"/>
        <v>0.437</v>
      </c>
      <c r="Q100" s="52">
        <f t="shared" si="17"/>
        <v>1221.7429999999999</v>
      </c>
      <c r="R100" s="52">
        <f t="shared" si="29"/>
        <v>71</v>
      </c>
      <c r="S100" s="52">
        <f t="shared" si="30"/>
        <v>21980.598999999998</v>
      </c>
      <c r="T100" s="52">
        <f t="shared" si="31"/>
        <v>1164.077</v>
      </c>
      <c r="U100" s="52">
        <f t="shared" si="32"/>
        <v>964.5</v>
      </c>
      <c r="V100" s="52" t="str">
        <f t="shared" si="33"/>
        <v>LoLo</v>
      </c>
      <c r="W100" s="93">
        <f t="shared" si="27"/>
        <v>1.5660000000000001</v>
      </c>
    </row>
    <row r="101" spans="1:23" x14ac:dyDescent="0.2">
      <c r="A101" s="51" t="s">
        <v>89</v>
      </c>
      <c r="B101" s="51" t="s">
        <v>230</v>
      </c>
      <c r="C101" s="51" t="s">
        <v>343</v>
      </c>
      <c r="D101" s="51">
        <v>464976</v>
      </c>
      <c r="E101" s="51" t="s">
        <v>344</v>
      </c>
      <c r="F101" s="51">
        <v>10715201</v>
      </c>
      <c r="G101" s="51">
        <v>458550</v>
      </c>
      <c r="H101" s="51" t="s">
        <v>345</v>
      </c>
      <c r="I101" s="51" t="s">
        <v>211</v>
      </c>
      <c r="J101" s="51">
        <v>7012</v>
      </c>
      <c r="K101" s="93" t="str">
        <f t="shared" si="24"/>
        <v>FO SR</v>
      </c>
      <c r="N101" s="52" t="str">
        <f t="shared" si="25"/>
        <v>TK-859</v>
      </c>
      <c r="O101" s="52" t="str">
        <f t="shared" si="26"/>
        <v>26 FO SR</v>
      </c>
      <c r="P101" s="52">
        <f t="shared" si="28"/>
        <v>0.499</v>
      </c>
      <c r="Q101" s="52">
        <f t="shared" si="17"/>
        <v>464.976</v>
      </c>
      <c r="R101" s="52">
        <f t="shared" si="29"/>
        <v>34.5</v>
      </c>
      <c r="S101" s="52">
        <f t="shared" si="30"/>
        <v>10715.200999999999</v>
      </c>
      <c r="T101" s="52">
        <f t="shared" si="31"/>
        <v>458.55</v>
      </c>
      <c r="U101" s="52">
        <f t="shared" si="32"/>
        <v>963.4</v>
      </c>
      <c r="V101" s="52" t="str">
        <f t="shared" si="33"/>
        <v>LoLo</v>
      </c>
      <c r="W101" s="93">
        <f t="shared" si="27"/>
        <v>7.0119999999999996</v>
      </c>
    </row>
    <row r="102" spans="1:23" x14ac:dyDescent="0.2">
      <c r="A102" s="51" t="s">
        <v>162</v>
      </c>
      <c r="B102" s="51" t="s">
        <v>230</v>
      </c>
      <c r="C102" s="51" t="s">
        <v>346</v>
      </c>
      <c r="D102" s="51">
        <v>1559363</v>
      </c>
      <c r="E102" s="51" t="s">
        <v>242</v>
      </c>
      <c r="F102" s="51">
        <v>27146668</v>
      </c>
      <c r="G102" s="51">
        <v>1558271</v>
      </c>
      <c r="H102" s="51" t="s">
        <v>347</v>
      </c>
      <c r="I102" s="51" t="s">
        <v>211</v>
      </c>
      <c r="J102" s="51">
        <v>1903</v>
      </c>
      <c r="K102" s="93" t="str">
        <f t="shared" si="24"/>
        <v>FO SR</v>
      </c>
      <c r="N102" s="52" t="str">
        <f t="shared" si="25"/>
        <v>TK-862</v>
      </c>
      <c r="O102" s="52" t="str">
        <f t="shared" si="26"/>
        <v>26 FO SR</v>
      </c>
      <c r="P102" s="52">
        <f t="shared" si="28"/>
        <v>0.51900000000000002</v>
      </c>
      <c r="Q102" s="52">
        <f t="shared" si="17"/>
        <v>1559.3630000000001</v>
      </c>
      <c r="R102" s="52">
        <f t="shared" si="29"/>
        <v>16</v>
      </c>
      <c r="S102" s="52">
        <f t="shared" si="30"/>
        <v>27146.668000000001</v>
      </c>
      <c r="T102" s="52">
        <f t="shared" si="31"/>
        <v>1558.271</v>
      </c>
      <c r="U102" s="52">
        <f t="shared" si="32"/>
        <v>965</v>
      </c>
      <c r="V102" s="52" t="str">
        <f t="shared" si="33"/>
        <v>LoLo</v>
      </c>
      <c r="W102" s="93">
        <f t="shared" si="27"/>
        <v>1.903</v>
      </c>
    </row>
    <row r="103" spans="1:23" x14ac:dyDescent="0.2">
      <c r="A103" s="51" t="s">
        <v>110</v>
      </c>
      <c r="B103" s="51" t="s">
        <v>206</v>
      </c>
      <c r="C103" s="51" t="s">
        <v>207</v>
      </c>
      <c r="D103" s="51" t="s">
        <v>110</v>
      </c>
      <c r="E103" s="51" t="s">
        <v>208</v>
      </c>
      <c r="F103" s="51" t="s">
        <v>110</v>
      </c>
      <c r="G103" s="51" t="s">
        <v>110</v>
      </c>
      <c r="H103" s="51" t="s">
        <v>209</v>
      </c>
      <c r="I103" s="51" t="s">
        <v>209</v>
      </c>
      <c r="J103" s="51" t="s">
        <v>110</v>
      </c>
      <c r="K103" s="93" t="str">
        <f t="shared" si="24"/>
        <v>_____________</v>
      </c>
      <c r="N103" s="52" t="str">
        <f t="shared" si="25"/>
        <v>____________</v>
      </c>
      <c r="O103" s="52" t="str">
        <f t="shared" si="26"/>
        <v>________________</v>
      </c>
      <c r="P103" s="52" t="str">
        <f t="shared" si="28"/>
        <v>___________</v>
      </c>
      <c r="Q103" s="52" t="str">
        <f t="shared" si="17"/>
        <v>____________</v>
      </c>
      <c r="R103" s="52" t="str">
        <f t="shared" si="29"/>
        <v/>
      </c>
      <c r="S103" s="52" t="str">
        <f t="shared" si="30"/>
        <v>____________</v>
      </c>
      <c r="T103" s="52" t="str">
        <f t="shared" si="31"/>
        <v>____________</v>
      </c>
      <c r="U103" s="52" t="str">
        <f t="shared" si="32"/>
        <v/>
      </c>
      <c r="V103" s="52" t="str">
        <f t="shared" si="33"/>
        <v>________</v>
      </c>
      <c r="W103" s="93" t="str">
        <f t="shared" si="27"/>
        <v>____________</v>
      </c>
    </row>
    <row r="104" spans="1:23" x14ac:dyDescent="0.2">
      <c r="K104" s="93" t="str">
        <f t="shared" si="24"/>
        <v/>
      </c>
      <c r="N104" s="52" t="str">
        <f t="shared" si="25"/>
        <v/>
      </c>
      <c r="O104" s="52" t="str">
        <f t="shared" si="26"/>
        <v/>
      </c>
      <c r="P104" s="52" t="str">
        <f t="shared" si="28"/>
        <v/>
      </c>
      <c r="Q104" s="52" t="str">
        <f t="shared" si="17"/>
        <v/>
      </c>
      <c r="R104" s="52" t="str">
        <f t="shared" si="29"/>
        <v/>
      </c>
      <c r="S104" s="52" t="str">
        <f t="shared" si="30"/>
        <v/>
      </c>
      <c r="T104" s="52" t="str">
        <f t="shared" si="31"/>
        <v/>
      </c>
      <c r="U104" s="52" t="str">
        <f t="shared" si="32"/>
        <v/>
      </c>
      <c r="V104" s="52" t="str">
        <f t="shared" si="33"/>
        <v/>
      </c>
      <c r="W104" s="93" t="str">
        <f t="shared" si="27"/>
        <v/>
      </c>
    </row>
    <row r="105" spans="1:23" x14ac:dyDescent="0.2">
      <c r="K105" s="93" t="str">
        <f t="shared" si="24"/>
        <v/>
      </c>
      <c r="N105" s="52" t="str">
        <f t="shared" si="25"/>
        <v/>
      </c>
      <c r="O105" s="52" t="str">
        <f t="shared" si="26"/>
        <v/>
      </c>
      <c r="P105" s="52" t="str">
        <f t="shared" si="28"/>
        <v/>
      </c>
      <c r="Q105" s="52" t="str">
        <f t="shared" si="17"/>
        <v/>
      </c>
      <c r="R105" s="52" t="str">
        <f t="shared" si="29"/>
        <v/>
      </c>
      <c r="S105" s="52" t="str">
        <f t="shared" si="30"/>
        <v/>
      </c>
      <c r="T105" s="52" t="str">
        <f t="shared" si="31"/>
        <v/>
      </c>
      <c r="U105" s="52" t="str">
        <f t="shared" si="32"/>
        <v/>
      </c>
      <c r="V105" s="52" t="str">
        <f t="shared" si="33"/>
        <v/>
      </c>
      <c r="W105" s="93" t="str">
        <f t="shared" si="27"/>
        <v/>
      </c>
    </row>
    <row r="106" spans="1:23" x14ac:dyDescent="0.2">
      <c r="A106" s="51" t="s">
        <v>173</v>
      </c>
      <c r="B106" s="51" t="s">
        <v>231</v>
      </c>
      <c r="C106" s="51">
        <v>9300</v>
      </c>
      <c r="D106" s="51">
        <v>1156793</v>
      </c>
      <c r="E106" s="51" t="s">
        <v>348</v>
      </c>
      <c r="F106" s="51">
        <v>549000</v>
      </c>
      <c r="G106" s="51">
        <v>1113679</v>
      </c>
      <c r="H106" s="51" t="s">
        <v>349</v>
      </c>
      <c r="J106" s="51">
        <v>-28952</v>
      </c>
      <c r="K106" s="93" t="str">
        <f t="shared" si="24"/>
        <v>FO Low sulf</v>
      </c>
      <c r="N106" s="52" t="str">
        <f t="shared" si="25"/>
        <v>TK-6101</v>
      </c>
      <c r="O106" s="52" t="str">
        <f t="shared" si="26"/>
        <v>27 FO Low sulf</v>
      </c>
      <c r="P106" s="52">
        <f t="shared" si="28"/>
        <v>9.3000000000000007</v>
      </c>
      <c r="Q106" s="52">
        <f t="shared" si="17"/>
        <v>1156.7929999999999</v>
      </c>
      <c r="R106" s="52">
        <f t="shared" si="29"/>
        <v>69</v>
      </c>
      <c r="S106" s="52">
        <f t="shared" si="30"/>
        <v>549</v>
      </c>
      <c r="T106" s="52">
        <f t="shared" si="31"/>
        <v>1113.6790000000001</v>
      </c>
      <c r="U106" s="52">
        <f t="shared" si="32"/>
        <v>988.7</v>
      </c>
      <c r="V106" s="52" t="str">
        <f t="shared" si="33"/>
        <v/>
      </c>
      <c r="W106" s="93">
        <f t="shared" si="27"/>
        <v>-28.952000000000002</v>
      </c>
    </row>
    <row r="107" spans="1:23" x14ac:dyDescent="0.2">
      <c r="A107" s="51" t="s">
        <v>110</v>
      </c>
      <c r="B107" s="51" t="s">
        <v>206</v>
      </c>
      <c r="C107" s="51" t="s">
        <v>207</v>
      </c>
      <c r="D107" s="51" t="s">
        <v>110</v>
      </c>
      <c r="E107" s="51" t="s">
        <v>208</v>
      </c>
      <c r="F107" s="51" t="s">
        <v>110</v>
      </c>
      <c r="G107" s="51" t="s">
        <v>110</v>
      </c>
      <c r="H107" s="51" t="s">
        <v>209</v>
      </c>
      <c r="I107" s="51" t="s">
        <v>209</v>
      </c>
      <c r="J107" s="51" t="s">
        <v>110</v>
      </c>
      <c r="K107" s="93" t="str">
        <f t="shared" si="24"/>
        <v>_____________</v>
      </c>
      <c r="N107" s="52" t="str">
        <f t="shared" si="25"/>
        <v>____________</v>
      </c>
      <c r="O107" s="52" t="str">
        <f t="shared" si="26"/>
        <v>________________</v>
      </c>
      <c r="P107" s="52" t="str">
        <f t="shared" si="28"/>
        <v>___________</v>
      </c>
      <c r="Q107" s="52" t="str">
        <f t="shared" si="17"/>
        <v>____________</v>
      </c>
      <c r="R107" s="52" t="str">
        <f t="shared" si="29"/>
        <v/>
      </c>
      <c r="S107" s="52" t="str">
        <f t="shared" si="30"/>
        <v>____________</v>
      </c>
      <c r="T107" s="52" t="str">
        <f t="shared" si="31"/>
        <v>____________</v>
      </c>
      <c r="U107" s="52" t="str">
        <f t="shared" si="32"/>
        <v/>
      </c>
      <c r="V107" s="52" t="str">
        <f t="shared" si="33"/>
        <v>________</v>
      </c>
      <c r="W107" s="93" t="str">
        <f t="shared" si="27"/>
        <v>____________</v>
      </c>
    </row>
    <row r="108" spans="1:23" x14ac:dyDescent="0.2">
      <c r="K108" s="93" t="str">
        <f t="shared" si="24"/>
        <v/>
      </c>
      <c r="N108" s="52" t="str">
        <f t="shared" si="25"/>
        <v/>
      </c>
      <c r="O108" s="52" t="str">
        <f t="shared" si="26"/>
        <v/>
      </c>
      <c r="P108" s="52" t="str">
        <f t="shared" si="28"/>
        <v/>
      </c>
      <c r="Q108" s="52" t="str">
        <f t="shared" si="17"/>
        <v/>
      </c>
      <c r="R108" s="52" t="str">
        <f t="shared" si="29"/>
        <v/>
      </c>
      <c r="S108" s="52" t="str">
        <f t="shared" si="30"/>
        <v/>
      </c>
      <c r="T108" s="52" t="str">
        <f t="shared" si="31"/>
        <v/>
      </c>
      <c r="U108" s="52" t="str">
        <f t="shared" si="32"/>
        <v/>
      </c>
      <c r="V108" s="52" t="str">
        <f t="shared" si="33"/>
        <v/>
      </c>
      <c r="W108" s="93" t="str">
        <f t="shared" si="27"/>
        <v/>
      </c>
    </row>
    <row r="109" spans="1:23" x14ac:dyDescent="0.2">
      <c r="K109" s="93" t="str">
        <f t="shared" si="24"/>
        <v/>
      </c>
      <c r="N109" s="52" t="str">
        <f t="shared" si="25"/>
        <v/>
      </c>
      <c r="O109" s="52" t="str">
        <f t="shared" si="26"/>
        <v/>
      </c>
      <c r="P109" s="52" t="str">
        <f t="shared" si="28"/>
        <v/>
      </c>
      <c r="Q109" s="52" t="str">
        <f t="shared" si="17"/>
        <v/>
      </c>
      <c r="R109" s="52" t="str">
        <f t="shared" si="29"/>
        <v/>
      </c>
      <c r="S109" s="52" t="str">
        <f t="shared" si="30"/>
        <v/>
      </c>
      <c r="T109" s="52" t="str">
        <f t="shared" si="31"/>
        <v/>
      </c>
      <c r="U109" s="52" t="str">
        <f t="shared" si="32"/>
        <v/>
      </c>
      <c r="V109" s="52" t="str">
        <f t="shared" si="33"/>
        <v/>
      </c>
      <c r="W109" s="93" t="str">
        <f t="shared" si="27"/>
        <v/>
      </c>
    </row>
    <row r="110" spans="1:23" x14ac:dyDescent="0.2">
      <c r="A110" s="51" t="s">
        <v>85</v>
      </c>
      <c r="B110" s="51" t="s">
        <v>232</v>
      </c>
      <c r="C110" s="51">
        <v>5325</v>
      </c>
      <c r="D110" s="51">
        <v>1635768</v>
      </c>
      <c r="E110" s="51" t="s">
        <v>350</v>
      </c>
      <c r="F110" s="51">
        <v>1995654</v>
      </c>
      <c r="G110" s="51">
        <v>1581379</v>
      </c>
      <c r="H110" s="51" t="s">
        <v>351</v>
      </c>
      <c r="J110" s="51">
        <v>-171402</v>
      </c>
      <c r="K110" s="93" t="str">
        <f t="shared" si="24"/>
        <v>FO LS No1</v>
      </c>
      <c r="N110" s="52" t="str">
        <f t="shared" si="25"/>
        <v>TK-828</v>
      </c>
      <c r="O110" s="52" t="str">
        <f t="shared" si="26"/>
        <v>28 FO LS No1</v>
      </c>
      <c r="P110" s="52">
        <f t="shared" si="28"/>
        <v>5.3250000000000002</v>
      </c>
      <c r="Q110" s="52">
        <f t="shared" si="17"/>
        <v>1635.768</v>
      </c>
      <c r="R110" s="52">
        <f t="shared" si="29"/>
        <v>60.1</v>
      </c>
      <c r="S110" s="52">
        <f t="shared" si="30"/>
        <v>1995.654</v>
      </c>
      <c r="T110" s="52">
        <f t="shared" si="31"/>
        <v>1581.3789999999999</v>
      </c>
      <c r="U110" s="52">
        <f t="shared" si="32"/>
        <v>977.5</v>
      </c>
      <c r="V110" s="52" t="str">
        <f t="shared" si="33"/>
        <v/>
      </c>
      <c r="W110" s="93">
        <f t="shared" si="27"/>
        <v>-171.40199999999999</v>
      </c>
    </row>
    <row r="111" spans="1:23" x14ac:dyDescent="0.2">
      <c r="A111" s="51" t="s">
        <v>91</v>
      </c>
      <c r="B111" s="51" t="s">
        <v>232</v>
      </c>
      <c r="C111" s="51" t="s">
        <v>352</v>
      </c>
      <c r="D111" s="51">
        <v>264795</v>
      </c>
      <c r="E111" s="51" t="s">
        <v>353</v>
      </c>
      <c r="F111" s="51">
        <v>2532263</v>
      </c>
      <c r="G111" s="51">
        <v>262732</v>
      </c>
      <c r="H111" s="51" t="s">
        <v>351</v>
      </c>
      <c r="J111" s="51" t="s">
        <v>354</v>
      </c>
      <c r="K111" s="93" t="str">
        <f t="shared" si="24"/>
        <v>FO LS No1</v>
      </c>
      <c r="N111" s="52" t="str">
        <f t="shared" si="25"/>
        <v>TK-843</v>
      </c>
      <c r="O111" s="52" t="str">
        <f t="shared" si="26"/>
        <v>28 FO LS No1</v>
      </c>
      <c r="P111" s="52">
        <f t="shared" si="28"/>
        <v>0.96599999999999997</v>
      </c>
      <c r="Q111" s="52">
        <f t="shared" si="17"/>
        <v>264.79500000000002</v>
      </c>
      <c r="R111" s="52">
        <f t="shared" si="29"/>
        <v>26.2</v>
      </c>
      <c r="S111" s="52">
        <f t="shared" si="30"/>
        <v>2532.2629999999999</v>
      </c>
      <c r="T111" s="52">
        <f t="shared" si="31"/>
        <v>262.73200000000003</v>
      </c>
      <c r="U111" s="52">
        <f t="shared" si="32"/>
        <v>977.5</v>
      </c>
      <c r="V111" s="52" t="str">
        <f t="shared" si="33"/>
        <v/>
      </c>
      <c r="W111" s="93">
        <f t="shared" si="27"/>
        <v>0.38600000000000001</v>
      </c>
    </row>
    <row r="112" spans="1:23" x14ac:dyDescent="0.2">
      <c r="A112" s="51" t="s">
        <v>110</v>
      </c>
      <c r="B112" s="51" t="s">
        <v>206</v>
      </c>
      <c r="C112" s="51" t="s">
        <v>207</v>
      </c>
      <c r="D112" s="51" t="s">
        <v>110</v>
      </c>
      <c r="E112" s="51" t="s">
        <v>208</v>
      </c>
      <c r="F112" s="51" t="s">
        <v>110</v>
      </c>
      <c r="G112" s="51" t="s">
        <v>110</v>
      </c>
      <c r="H112" s="51" t="s">
        <v>209</v>
      </c>
      <c r="I112" s="51" t="s">
        <v>209</v>
      </c>
      <c r="J112" s="51" t="s">
        <v>110</v>
      </c>
      <c r="K112" s="93" t="str">
        <f t="shared" si="24"/>
        <v>_____________</v>
      </c>
      <c r="N112" s="52" t="str">
        <f t="shared" si="25"/>
        <v>____________</v>
      </c>
      <c r="O112" s="52" t="str">
        <f t="shared" si="26"/>
        <v>________________</v>
      </c>
      <c r="P112" s="52" t="str">
        <f t="shared" si="28"/>
        <v>___________</v>
      </c>
      <c r="Q112" s="52" t="str">
        <f t="shared" si="17"/>
        <v>____________</v>
      </c>
      <c r="R112" s="52" t="str">
        <f t="shared" si="29"/>
        <v/>
      </c>
      <c r="S112" s="52" t="str">
        <f t="shared" si="30"/>
        <v>____________</v>
      </c>
      <c r="T112" s="52" t="str">
        <f t="shared" si="31"/>
        <v>____________</v>
      </c>
      <c r="U112" s="52" t="str">
        <f t="shared" si="32"/>
        <v/>
      </c>
      <c r="V112" s="52" t="str">
        <f t="shared" si="33"/>
        <v>________</v>
      </c>
      <c r="W112" s="93" t="str">
        <f t="shared" si="27"/>
        <v>____________</v>
      </c>
    </row>
    <row r="113" spans="1:23" x14ac:dyDescent="0.2">
      <c r="K113" s="93" t="str">
        <f t="shared" si="24"/>
        <v/>
      </c>
      <c r="N113" s="52" t="str">
        <f t="shared" si="25"/>
        <v/>
      </c>
      <c r="O113" s="52" t="str">
        <f t="shared" si="26"/>
        <v/>
      </c>
      <c r="P113" s="52" t="str">
        <f t="shared" si="28"/>
        <v/>
      </c>
      <c r="Q113" s="52" t="str">
        <f t="shared" si="17"/>
        <v/>
      </c>
      <c r="R113" s="52" t="str">
        <f t="shared" si="29"/>
        <v/>
      </c>
      <c r="S113" s="52" t="str">
        <f t="shared" si="30"/>
        <v/>
      </c>
      <c r="T113" s="52" t="str">
        <f t="shared" si="31"/>
        <v/>
      </c>
      <c r="U113" s="52" t="str">
        <f t="shared" si="32"/>
        <v/>
      </c>
      <c r="V113" s="52" t="str">
        <f t="shared" si="33"/>
        <v/>
      </c>
      <c r="W113" s="93" t="str">
        <f t="shared" si="27"/>
        <v/>
      </c>
    </row>
    <row r="114" spans="1:23" x14ac:dyDescent="0.2">
      <c r="K114" s="93" t="str">
        <f t="shared" si="24"/>
        <v/>
      </c>
      <c r="N114" s="52" t="str">
        <f t="shared" si="25"/>
        <v/>
      </c>
      <c r="O114" s="52" t="str">
        <f t="shared" si="26"/>
        <v/>
      </c>
      <c r="P114" s="52" t="str">
        <f t="shared" si="28"/>
        <v/>
      </c>
      <c r="Q114" s="52" t="str">
        <f t="shared" si="17"/>
        <v/>
      </c>
      <c r="R114" s="52" t="str">
        <f t="shared" si="29"/>
        <v/>
      </c>
      <c r="S114" s="52" t="str">
        <f t="shared" si="30"/>
        <v/>
      </c>
      <c r="T114" s="52" t="str">
        <f t="shared" si="31"/>
        <v/>
      </c>
      <c r="U114" s="52" t="str">
        <f t="shared" si="32"/>
        <v/>
      </c>
      <c r="V114" s="52" t="str">
        <f t="shared" si="33"/>
        <v/>
      </c>
      <c r="W114" s="93" t="str">
        <f t="shared" si="27"/>
        <v/>
      </c>
    </row>
    <row r="115" spans="1:23" x14ac:dyDescent="0.2">
      <c r="A115" s="51" t="s">
        <v>84</v>
      </c>
      <c r="B115" s="51" t="s">
        <v>233</v>
      </c>
      <c r="C115" s="51">
        <v>12228</v>
      </c>
      <c r="D115" s="51">
        <v>17036382</v>
      </c>
      <c r="E115" s="51" t="s">
        <v>355</v>
      </c>
      <c r="F115" s="51">
        <v>2427147</v>
      </c>
      <c r="G115" s="51">
        <v>16546756</v>
      </c>
      <c r="H115" s="51" t="s">
        <v>356</v>
      </c>
      <c r="J115" s="51">
        <v>-197777</v>
      </c>
      <c r="K115" s="93" t="str">
        <f t="shared" si="24"/>
        <v>FO LS No3</v>
      </c>
      <c r="N115" s="52" t="str">
        <f t="shared" si="25"/>
        <v>TK-827</v>
      </c>
      <c r="O115" s="52" t="str">
        <f t="shared" si="26"/>
        <v>28 FO LS No3</v>
      </c>
      <c r="P115" s="52">
        <f t="shared" si="28"/>
        <v>12.228</v>
      </c>
      <c r="Q115" s="52">
        <f t="shared" si="17"/>
        <v>17036.382000000001</v>
      </c>
      <c r="R115" s="52">
        <f t="shared" si="29"/>
        <v>60.9</v>
      </c>
      <c r="S115" s="52">
        <f t="shared" si="30"/>
        <v>2427.1469999999999</v>
      </c>
      <c r="T115" s="52">
        <f t="shared" si="31"/>
        <v>16546.756000000001</v>
      </c>
      <c r="U115" s="52">
        <f t="shared" si="32"/>
        <v>985</v>
      </c>
      <c r="V115" s="52" t="str">
        <f t="shared" si="33"/>
        <v/>
      </c>
      <c r="W115" s="93">
        <f t="shared" si="27"/>
        <v>-197.77699999999999</v>
      </c>
    </row>
    <row r="116" spans="1:23" x14ac:dyDescent="0.2">
      <c r="A116" s="51" t="s">
        <v>87</v>
      </c>
      <c r="B116" s="51" t="s">
        <v>233</v>
      </c>
      <c r="C116" s="51">
        <v>4484</v>
      </c>
      <c r="D116" s="51">
        <v>7821111</v>
      </c>
      <c r="E116" s="51" t="s">
        <v>357</v>
      </c>
      <c r="F116" s="51">
        <v>15330390</v>
      </c>
      <c r="G116" s="51">
        <v>7584913</v>
      </c>
      <c r="H116" s="51" t="s">
        <v>358</v>
      </c>
      <c r="J116" s="51">
        <v>4529489</v>
      </c>
      <c r="K116" s="93" t="str">
        <f t="shared" si="24"/>
        <v>FO LS No3</v>
      </c>
      <c r="N116" s="52" t="str">
        <f t="shared" si="25"/>
        <v>TK-856</v>
      </c>
      <c r="O116" s="52" t="str">
        <f t="shared" si="26"/>
        <v>28 FO LS No3</v>
      </c>
      <c r="P116" s="52">
        <f t="shared" si="28"/>
        <v>4.484</v>
      </c>
      <c r="Q116" s="52">
        <f t="shared" si="17"/>
        <v>7821.1109999999999</v>
      </c>
      <c r="R116" s="52">
        <f t="shared" si="29"/>
        <v>63.6</v>
      </c>
      <c r="S116" s="52">
        <f t="shared" si="30"/>
        <v>15330.39</v>
      </c>
      <c r="T116" s="52">
        <f t="shared" si="31"/>
        <v>7584.9129999999996</v>
      </c>
      <c r="U116" s="52">
        <f t="shared" si="32"/>
        <v>985.8</v>
      </c>
      <c r="V116" s="52" t="str">
        <f t="shared" si="33"/>
        <v/>
      </c>
      <c r="W116" s="93">
        <f t="shared" si="27"/>
        <v>4529.4889999999996</v>
      </c>
    </row>
    <row r="117" spans="1:23" x14ac:dyDescent="0.2">
      <c r="A117" s="51" t="s">
        <v>110</v>
      </c>
      <c r="B117" s="51" t="s">
        <v>206</v>
      </c>
      <c r="C117" s="51" t="s">
        <v>207</v>
      </c>
      <c r="D117" s="51" t="s">
        <v>110</v>
      </c>
      <c r="E117" s="51" t="s">
        <v>208</v>
      </c>
      <c r="F117" s="51" t="s">
        <v>110</v>
      </c>
      <c r="G117" s="51" t="s">
        <v>110</v>
      </c>
      <c r="H117" s="51" t="s">
        <v>209</v>
      </c>
      <c r="I117" s="51" t="s">
        <v>209</v>
      </c>
      <c r="J117" s="51" t="s">
        <v>110</v>
      </c>
      <c r="K117" s="93" t="str">
        <f t="shared" si="24"/>
        <v>_____________</v>
      </c>
      <c r="N117" s="52" t="str">
        <f t="shared" si="25"/>
        <v>____________</v>
      </c>
      <c r="O117" s="52" t="str">
        <f t="shared" si="26"/>
        <v>________________</v>
      </c>
      <c r="P117" s="52" t="str">
        <f t="shared" si="28"/>
        <v>___________</v>
      </c>
      <c r="Q117" s="52" t="str">
        <f t="shared" si="17"/>
        <v>____________</v>
      </c>
      <c r="R117" s="52" t="str">
        <f t="shared" si="29"/>
        <v/>
      </c>
      <c r="S117" s="52" t="str">
        <f t="shared" si="30"/>
        <v>____________</v>
      </c>
      <c r="T117" s="52" t="str">
        <f t="shared" si="31"/>
        <v>____________</v>
      </c>
      <c r="U117" s="52" t="str">
        <f t="shared" si="32"/>
        <v/>
      </c>
      <c r="V117" s="52" t="str">
        <f t="shared" si="33"/>
        <v>________</v>
      </c>
      <c r="W117" s="93" t="str">
        <f t="shared" si="27"/>
        <v>____________</v>
      </c>
    </row>
    <row r="118" spans="1:23" x14ac:dyDescent="0.2">
      <c r="K118" s="93" t="str">
        <f t="shared" si="24"/>
        <v/>
      </c>
      <c r="N118" s="52" t="str">
        <f t="shared" si="25"/>
        <v/>
      </c>
      <c r="O118" s="52" t="str">
        <f t="shared" si="26"/>
        <v/>
      </c>
      <c r="P118" s="52" t="str">
        <f t="shared" si="28"/>
        <v/>
      </c>
      <c r="Q118" s="52" t="str">
        <f t="shared" si="17"/>
        <v/>
      </c>
      <c r="R118" s="52" t="str">
        <f t="shared" si="29"/>
        <v/>
      </c>
      <c r="S118" s="52" t="str">
        <f t="shared" si="30"/>
        <v/>
      </c>
      <c r="T118" s="52" t="str">
        <f t="shared" si="31"/>
        <v/>
      </c>
      <c r="U118" s="52" t="str">
        <f t="shared" si="32"/>
        <v/>
      </c>
      <c r="V118" s="52" t="str">
        <f t="shared" si="33"/>
        <v/>
      </c>
      <c r="W118" s="93" t="str">
        <f t="shared" si="27"/>
        <v/>
      </c>
    </row>
    <row r="119" spans="1:23" x14ac:dyDescent="0.2">
      <c r="K119" s="93" t="str">
        <f t="shared" si="24"/>
        <v/>
      </c>
      <c r="N119" s="52" t="str">
        <f t="shared" si="25"/>
        <v/>
      </c>
      <c r="O119" s="52" t="str">
        <f t="shared" si="26"/>
        <v/>
      </c>
      <c r="P119" s="52" t="str">
        <f t="shared" si="28"/>
        <v/>
      </c>
      <c r="Q119" s="52" t="str">
        <f t="shared" ref="Q119:Q182" si="34">IF(ISTEXT(D119),IF(LEFT(D119,1)="0",VALUE(LEFT(D119,1)),D119),IF(D119&gt;0,D119/1000,""))</f>
        <v/>
      </c>
      <c r="R119" s="52" t="str">
        <f t="shared" si="29"/>
        <v/>
      </c>
      <c r="S119" s="52" t="str">
        <f t="shared" si="30"/>
        <v/>
      </c>
      <c r="T119" s="52" t="str">
        <f t="shared" si="31"/>
        <v/>
      </c>
      <c r="U119" s="52" t="str">
        <f t="shared" si="32"/>
        <v/>
      </c>
      <c r="V119" s="52" t="str">
        <f t="shared" si="33"/>
        <v/>
      </c>
      <c r="W119" s="93" t="str">
        <f t="shared" si="27"/>
        <v/>
      </c>
    </row>
    <row r="120" spans="1:23" x14ac:dyDescent="0.2">
      <c r="A120" s="51" t="s">
        <v>93</v>
      </c>
      <c r="B120" s="51" t="s">
        <v>234</v>
      </c>
      <c r="C120" s="51">
        <v>5342</v>
      </c>
      <c r="D120" s="51">
        <v>8996924</v>
      </c>
      <c r="E120" s="51" t="s">
        <v>359</v>
      </c>
      <c r="F120" s="51">
        <v>14394358</v>
      </c>
      <c r="G120" s="51">
        <v>8719639</v>
      </c>
      <c r="H120" s="51" t="s">
        <v>360</v>
      </c>
      <c r="J120" s="51">
        <v>2515</v>
      </c>
      <c r="K120" s="93" t="str">
        <f t="shared" si="24"/>
        <v>VGO</v>
      </c>
      <c r="N120" s="52" t="str">
        <f t="shared" si="25"/>
        <v>TK-844</v>
      </c>
      <c r="O120" s="52" t="str">
        <f t="shared" si="26"/>
        <v>28 VGO</v>
      </c>
      <c r="P120" s="52">
        <f t="shared" si="28"/>
        <v>5.3419999999999996</v>
      </c>
      <c r="Q120" s="52">
        <f t="shared" si="34"/>
        <v>8996.9240000000009</v>
      </c>
      <c r="R120" s="52">
        <f t="shared" si="29"/>
        <v>55.9</v>
      </c>
      <c r="S120" s="52">
        <f t="shared" si="30"/>
        <v>14394.358</v>
      </c>
      <c r="T120" s="52">
        <f t="shared" si="31"/>
        <v>8719.6389999999992</v>
      </c>
      <c r="U120" s="52">
        <f t="shared" si="32"/>
        <v>921.7</v>
      </c>
      <c r="V120" s="52" t="str">
        <f t="shared" si="33"/>
        <v/>
      </c>
      <c r="W120" s="93">
        <f t="shared" si="27"/>
        <v>2.5150000000000001</v>
      </c>
    </row>
    <row r="121" spans="1:23" x14ac:dyDescent="0.2">
      <c r="A121" s="51" t="s">
        <v>110</v>
      </c>
      <c r="B121" s="51" t="s">
        <v>206</v>
      </c>
      <c r="C121" s="51" t="s">
        <v>207</v>
      </c>
      <c r="D121" s="51" t="s">
        <v>110</v>
      </c>
      <c r="E121" s="51" t="s">
        <v>208</v>
      </c>
      <c r="F121" s="51" t="s">
        <v>110</v>
      </c>
      <c r="G121" s="51" t="s">
        <v>110</v>
      </c>
      <c r="H121" s="51" t="s">
        <v>209</v>
      </c>
      <c r="I121" s="51" t="s">
        <v>209</v>
      </c>
      <c r="J121" s="51" t="s">
        <v>110</v>
      </c>
      <c r="K121" s="93" t="str">
        <f t="shared" si="24"/>
        <v>_____________</v>
      </c>
      <c r="N121" s="52" t="str">
        <f t="shared" si="25"/>
        <v>____________</v>
      </c>
      <c r="O121" s="52" t="str">
        <f t="shared" si="26"/>
        <v>________________</v>
      </c>
      <c r="P121" s="52" t="str">
        <f t="shared" si="28"/>
        <v>___________</v>
      </c>
      <c r="Q121" s="52" t="str">
        <f t="shared" si="34"/>
        <v>____________</v>
      </c>
      <c r="R121" s="52" t="str">
        <f t="shared" si="29"/>
        <v/>
      </c>
      <c r="S121" s="52" t="str">
        <f t="shared" si="30"/>
        <v>____________</v>
      </c>
      <c r="T121" s="52" t="str">
        <f t="shared" si="31"/>
        <v>____________</v>
      </c>
      <c r="U121" s="52" t="str">
        <f t="shared" si="32"/>
        <v/>
      </c>
      <c r="V121" s="52" t="str">
        <f t="shared" si="33"/>
        <v>________</v>
      </c>
      <c r="W121" s="93" t="str">
        <f t="shared" si="27"/>
        <v>____________</v>
      </c>
    </row>
    <row r="122" spans="1:23" x14ac:dyDescent="0.2">
      <c r="K122" s="93" t="str">
        <f t="shared" si="24"/>
        <v/>
      </c>
      <c r="N122" s="52" t="str">
        <f t="shared" si="25"/>
        <v/>
      </c>
      <c r="O122" s="52" t="str">
        <f t="shared" si="26"/>
        <v/>
      </c>
      <c r="P122" s="52" t="str">
        <f t="shared" si="28"/>
        <v/>
      </c>
      <c r="Q122" s="52" t="str">
        <f t="shared" si="34"/>
        <v/>
      </c>
      <c r="R122" s="52" t="str">
        <f t="shared" si="29"/>
        <v/>
      </c>
      <c r="S122" s="52" t="str">
        <f t="shared" si="30"/>
        <v/>
      </c>
      <c r="T122" s="52" t="str">
        <f t="shared" si="31"/>
        <v/>
      </c>
      <c r="U122" s="52" t="str">
        <f t="shared" si="32"/>
        <v/>
      </c>
      <c r="V122" s="52" t="str">
        <f t="shared" si="33"/>
        <v/>
      </c>
      <c r="W122" s="93" t="str">
        <f t="shared" si="27"/>
        <v/>
      </c>
    </row>
    <row r="123" spans="1:23" x14ac:dyDescent="0.2">
      <c r="K123" s="93" t="str">
        <f t="shared" si="24"/>
        <v/>
      </c>
      <c r="N123" s="52" t="str">
        <f t="shared" si="25"/>
        <v/>
      </c>
      <c r="O123" s="52" t="str">
        <f t="shared" si="26"/>
        <v/>
      </c>
      <c r="P123" s="52" t="str">
        <f t="shared" si="28"/>
        <v/>
      </c>
      <c r="Q123" s="52" t="str">
        <f t="shared" si="34"/>
        <v/>
      </c>
      <c r="R123" s="52" t="str">
        <f t="shared" si="29"/>
        <v/>
      </c>
      <c r="S123" s="52" t="str">
        <f t="shared" si="30"/>
        <v/>
      </c>
      <c r="T123" s="52" t="str">
        <f t="shared" si="31"/>
        <v/>
      </c>
      <c r="U123" s="52" t="str">
        <f t="shared" si="32"/>
        <v/>
      </c>
      <c r="V123" s="52" t="str">
        <f t="shared" si="33"/>
        <v/>
      </c>
      <c r="W123" s="93" t="str">
        <f t="shared" si="27"/>
        <v/>
      </c>
    </row>
    <row r="124" spans="1:23" x14ac:dyDescent="0.2">
      <c r="A124" s="51" t="s">
        <v>95</v>
      </c>
      <c r="B124" s="51" t="s">
        <v>235</v>
      </c>
      <c r="C124" s="51" t="s">
        <v>361</v>
      </c>
      <c r="D124" s="51">
        <v>1022034</v>
      </c>
      <c r="E124" s="51" t="s">
        <v>362</v>
      </c>
      <c r="F124" s="51">
        <v>13971047</v>
      </c>
      <c r="G124" s="51">
        <v>959179</v>
      </c>
      <c r="H124" s="51" t="s">
        <v>236</v>
      </c>
      <c r="I124" s="51" t="s">
        <v>309</v>
      </c>
      <c r="J124" s="51">
        <v>2944</v>
      </c>
      <c r="K124" s="93" t="str">
        <f t="shared" si="24"/>
        <v>AS 50/70</v>
      </c>
      <c r="N124" s="52" t="str">
        <f t="shared" si="25"/>
        <v>TK-830</v>
      </c>
      <c r="O124" s="52" t="str">
        <f t="shared" si="26"/>
        <v>29 AS 50/70</v>
      </c>
      <c r="P124" s="52">
        <f t="shared" si="28"/>
        <v>0.69099999999999995</v>
      </c>
      <c r="Q124" s="52">
        <f t="shared" si="34"/>
        <v>1022.034</v>
      </c>
      <c r="R124" s="52">
        <f t="shared" si="29"/>
        <v>118.7</v>
      </c>
      <c r="S124" s="52">
        <f t="shared" si="30"/>
        <v>13971.047</v>
      </c>
      <c r="T124" s="52">
        <f t="shared" si="31"/>
        <v>959.17899999999997</v>
      </c>
      <c r="U124" s="52">
        <f t="shared" si="32"/>
        <v>1034</v>
      </c>
      <c r="V124" s="52" t="str">
        <f t="shared" si="33"/>
        <v>Low</v>
      </c>
      <c r="W124" s="93">
        <f t="shared" si="27"/>
        <v>2.944</v>
      </c>
    </row>
    <row r="125" spans="1:23" x14ac:dyDescent="0.2">
      <c r="A125" s="51" t="s">
        <v>97</v>
      </c>
      <c r="B125" s="51" t="s">
        <v>235</v>
      </c>
      <c r="C125" s="51">
        <v>2263</v>
      </c>
      <c r="D125" s="51">
        <v>262794</v>
      </c>
      <c r="E125" s="51" t="s">
        <v>363</v>
      </c>
      <c r="F125" s="51">
        <v>1236812</v>
      </c>
      <c r="G125" s="51">
        <v>239983</v>
      </c>
      <c r="H125" s="51" t="s">
        <v>237</v>
      </c>
      <c r="J125" s="51" t="s">
        <v>254</v>
      </c>
      <c r="K125" s="93" t="str">
        <f t="shared" si="24"/>
        <v>AS 50/70</v>
      </c>
      <c r="N125" s="52" t="str">
        <f t="shared" si="25"/>
        <v>TK-832</v>
      </c>
      <c r="O125" s="52" t="str">
        <f t="shared" si="26"/>
        <v>29 AS 50/70</v>
      </c>
      <c r="P125" s="52">
        <f t="shared" si="28"/>
        <v>2.2629999999999999</v>
      </c>
      <c r="Q125" s="52">
        <f t="shared" si="34"/>
        <v>262.79399999999998</v>
      </c>
      <c r="R125" s="52">
        <f t="shared" si="29"/>
        <v>132.30000000000001</v>
      </c>
      <c r="S125" s="52">
        <f t="shared" si="30"/>
        <v>1236.8119999999999</v>
      </c>
      <c r="T125" s="52">
        <f t="shared" si="31"/>
        <v>239.983</v>
      </c>
      <c r="U125" s="52">
        <f t="shared" si="32"/>
        <v>1035</v>
      </c>
      <c r="V125" s="52" t="str">
        <f t="shared" si="33"/>
        <v/>
      </c>
      <c r="W125" s="93">
        <f t="shared" si="27"/>
        <v>-5.0000000000000001E-3</v>
      </c>
    </row>
    <row r="126" spans="1:23" x14ac:dyDescent="0.2">
      <c r="A126" s="51" t="s">
        <v>98</v>
      </c>
      <c r="B126" s="51" t="s">
        <v>235</v>
      </c>
      <c r="C126" s="51" t="s">
        <v>364</v>
      </c>
      <c r="D126" s="51">
        <v>367982</v>
      </c>
      <c r="E126" s="51" t="s">
        <v>365</v>
      </c>
      <c r="F126" s="51">
        <v>4380701</v>
      </c>
      <c r="G126" s="51">
        <v>347272</v>
      </c>
      <c r="H126" s="51" t="s">
        <v>236</v>
      </c>
      <c r="J126" s="51">
        <v>1701</v>
      </c>
      <c r="K126" s="93" t="str">
        <f t="shared" si="24"/>
        <v>AS 50/70</v>
      </c>
      <c r="N126" s="52" t="str">
        <f t="shared" si="25"/>
        <v>TK-837</v>
      </c>
      <c r="O126" s="52" t="str">
        <f t="shared" si="26"/>
        <v>29 AS 50/70</v>
      </c>
      <c r="P126" s="52">
        <f t="shared" si="28"/>
        <v>0.79700000000000004</v>
      </c>
      <c r="Q126" s="52">
        <f t="shared" si="34"/>
        <v>367.98200000000003</v>
      </c>
      <c r="R126" s="52">
        <f t="shared" si="29"/>
        <v>109.5</v>
      </c>
      <c r="S126" s="52">
        <f t="shared" si="30"/>
        <v>4380.701</v>
      </c>
      <c r="T126" s="52">
        <f t="shared" si="31"/>
        <v>347.27199999999999</v>
      </c>
      <c r="U126" s="52">
        <f t="shared" si="32"/>
        <v>1034</v>
      </c>
      <c r="V126" s="52" t="str">
        <f t="shared" si="33"/>
        <v/>
      </c>
      <c r="W126" s="93">
        <f t="shared" si="27"/>
        <v>1.7010000000000001</v>
      </c>
    </row>
    <row r="127" spans="1:23" x14ac:dyDescent="0.2">
      <c r="A127" s="51" t="s">
        <v>110</v>
      </c>
      <c r="B127" s="51" t="s">
        <v>206</v>
      </c>
      <c r="C127" s="51" t="s">
        <v>207</v>
      </c>
      <c r="D127" s="51" t="s">
        <v>110</v>
      </c>
      <c r="E127" s="51" t="s">
        <v>208</v>
      </c>
      <c r="F127" s="51" t="s">
        <v>110</v>
      </c>
      <c r="G127" s="51" t="s">
        <v>110</v>
      </c>
      <c r="H127" s="51" t="s">
        <v>209</v>
      </c>
      <c r="I127" s="51" t="s">
        <v>209</v>
      </c>
      <c r="J127" s="51" t="s">
        <v>110</v>
      </c>
      <c r="K127" s="93" t="str">
        <f t="shared" si="24"/>
        <v>_____________</v>
      </c>
      <c r="N127" s="52" t="str">
        <f t="shared" si="25"/>
        <v>____________</v>
      </c>
      <c r="O127" s="52" t="str">
        <f t="shared" si="26"/>
        <v>________________</v>
      </c>
      <c r="P127" s="52" t="str">
        <f t="shared" si="28"/>
        <v>___________</v>
      </c>
      <c r="Q127" s="52" t="str">
        <f t="shared" si="34"/>
        <v>____________</v>
      </c>
      <c r="R127" s="52" t="str">
        <f t="shared" si="29"/>
        <v/>
      </c>
      <c r="S127" s="52" t="str">
        <f t="shared" si="30"/>
        <v>____________</v>
      </c>
      <c r="T127" s="52" t="str">
        <f t="shared" si="31"/>
        <v>____________</v>
      </c>
      <c r="U127" s="52" t="str">
        <f t="shared" si="32"/>
        <v/>
      </c>
      <c r="V127" s="52" t="str">
        <f t="shared" si="33"/>
        <v>________</v>
      </c>
      <c r="W127" s="93" t="str">
        <f t="shared" si="27"/>
        <v>____________</v>
      </c>
    </row>
    <row r="128" spans="1:23" x14ac:dyDescent="0.2">
      <c r="K128" s="93" t="str">
        <f t="shared" si="24"/>
        <v/>
      </c>
      <c r="N128" s="52" t="str">
        <f t="shared" si="25"/>
        <v/>
      </c>
      <c r="O128" s="52" t="str">
        <f t="shared" si="26"/>
        <v/>
      </c>
      <c r="P128" s="52" t="str">
        <f t="shared" si="28"/>
        <v/>
      </c>
      <c r="Q128" s="52" t="str">
        <f t="shared" si="34"/>
        <v/>
      </c>
      <c r="R128" s="52" t="str">
        <f t="shared" si="29"/>
        <v/>
      </c>
      <c r="S128" s="52" t="str">
        <f t="shared" si="30"/>
        <v/>
      </c>
      <c r="T128" s="52" t="str">
        <f t="shared" si="31"/>
        <v/>
      </c>
      <c r="U128" s="52" t="str">
        <f t="shared" si="32"/>
        <v/>
      </c>
      <c r="V128" s="52" t="str">
        <f t="shared" si="33"/>
        <v/>
      </c>
      <c r="W128" s="93" t="str">
        <f t="shared" si="27"/>
        <v/>
      </c>
    </row>
    <row r="129" spans="1:23" x14ac:dyDescent="0.2">
      <c r="K129" s="93" t="str">
        <f t="shared" si="24"/>
        <v/>
      </c>
      <c r="N129" s="52" t="str">
        <f t="shared" si="25"/>
        <v/>
      </c>
      <c r="O129" s="52" t="str">
        <f t="shared" si="26"/>
        <v/>
      </c>
      <c r="P129" s="52" t="str">
        <f t="shared" si="28"/>
        <v/>
      </c>
      <c r="Q129" s="52" t="str">
        <f t="shared" si="34"/>
        <v/>
      </c>
      <c r="R129" s="52" t="str">
        <f t="shared" si="29"/>
        <v/>
      </c>
      <c r="S129" s="52" t="str">
        <f t="shared" si="30"/>
        <v/>
      </c>
      <c r="T129" s="52" t="str">
        <f t="shared" si="31"/>
        <v/>
      </c>
      <c r="U129" s="52" t="str">
        <f t="shared" si="32"/>
        <v/>
      </c>
      <c r="V129" s="52" t="str">
        <f t="shared" si="33"/>
        <v/>
      </c>
      <c r="W129" s="93" t="str">
        <f t="shared" si="27"/>
        <v/>
      </c>
    </row>
    <row r="130" spans="1:23" x14ac:dyDescent="0.2">
      <c r="A130" s="51" t="s">
        <v>12</v>
      </c>
      <c r="B130" s="51" t="s">
        <v>389</v>
      </c>
      <c r="C130" s="51">
        <v>7743</v>
      </c>
      <c r="D130" s="51">
        <v>21756143</v>
      </c>
      <c r="E130" s="51" t="s">
        <v>390</v>
      </c>
      <c r="F130" s="51">
        <v>14912306</v>
      </c>
      <c r="G130" s="51">
        <v>21845343</v>
      </c>
      <c r="H130" s="51" t="s">
        <v>391</v>
      </c>
      <c r="J130" s="51">
        <v>853076</v>
      </c>
      <c r="K130" s="93" t="str">
        <f t="shared" si="24"/>
        <v>Ballast</v>
      </c>
      <c r="N130" s="52" t="str">
        <f t="shared" si="25"/>
        <v>TK-801</v>
      </c>
      <c r="O130" s="52" t="str">
        <f t="shared" si="26"/>
        <v>31 Ballast</v>
      </c>
      <c r="P130" s="52">
        <f t="shared" si="28"/>
        <v>7.7430000000000003</v>
      </c>
      <c r="Q130" s="52">
        <f t="shared" si="34"/>
        <v>21756.143</v>
      </c>
      <c r="R130" s="52">
        <f t="shared" si="29"/>
        <v>10.7</v>
      </c>
      <c r="S130" s="52">
        <f t="shared" si="30"/>
        <v>14912.306</v>
      </c>
      <c r="T130" s="52">
        <f t="shared" si="31"/>
        <v>21845.343000000001</v>
      </c>
      <c r="U130" s="52">
        <f t="shared" si="32"/>
        <v>805</v>
      </c>
      <c r="V130" s="52" t="str">
        <f t="shared" si="33"/>
        <v/>
      </c>
      <c r="W130" s="93">
        <f t="shared" si="27"/>
        <v>853.07600000000002</v>
      </c>
    </row>
    <row r="131" spans="1:23" x14ac:dyDescent="0.2">
      <c r="A131" s="51" t="s">
        <v>101</v>
      </c>
      <c r="B131" s="51" t="s">
        <v>389</v>
      </c>
      <c r="C131" s="51" t="s">
        <v>366</v>
      </c>
      <c r="D131" s="51">
        <v>177256</v>
      </c>
      <c r="E131" s="51" t="s">
        <v>238</v>
      </c>
      <c r="F131" s="51">
        <v>352744</v>
      </c>
      <c r="G131" s="51">
        <v>177256</v>
      </c>
      <c r="H131" s="51" t="s">
        <v>392</v>
      </c>
      <c r="I131" s="51" t="s">
        <v>309</v>
      </c>
      <c r="J131" s="51" t="s">
        <v>212</v>
      </c>
      <c r="K131" s="93" t="str">
        <f t="shared" si="24"/>
        <v>Ballast</v>
      </c>
      <c r="N131" s="52" t="str">
        <f t="shared" si="25"/>
        <v>TK-1041</v>
      </c>
      <c r="O131" s="52" t="str">
        <f t="shared" si="26"/>
        <v>31 Ballast</v>
      </c>
      <c r="P131" s="52">
        <f t="shared" si="28"/>
        <v>0.69599999999999995</v>
      </c>
      <c r="Q131" s="52">
        <f t="shared" si="34"/>
        <v>177.256</v>
      </c>
      <c r="R131" s="52">
        <f t="shared" ref="R131:R162" si="35">IF(ISNUMBER(VALUE(SUBSTITUTE(E131,".",","))),VALUE(SUBSTITUTE(E131,".",",")),"")</f>
        <v>15</v>
      </c>
      <c r="S131" s="52">
        <f t="shared" ref="S131:S162" si="36">IF(ISTEXT(F131),F131,IF(F131&gt;0,F131/1000,""))</f>
        <v>352.74400000000003</v>
      </c>
      <c r="T131" s="52">
        <f t="shared" ref="T131:T162" si="37">IF(ISTEXT(G131),G131,IF(G131&gt;0,G131/1000,""))</f>
        <v>177.256</v>
      </c>
      <c r="U131" s="52">
        <f t="shared" ref="U131:U162" si="38">IF(ISNUMBER(VALUE(SUBSTITUTE(H131,".",","))),VALUE(SUBSTITUTE(H131,".",",")),"")</f>
        <v>779.2</v>
      </c>
      <c r="V131" s="52" t="str">
        <f t="shared" ref="V131:V162" si="39">IF(ISTEXT(I131),I131,"")</f>
        <v>Low</v>
      </c>
      <c r="W131" s="93">
        <f t="shared" si="27"/>
        <v>0</v>
      </c>
    </row>
    <row r="132" spans="1:23" x14ac:dyDescent="0.2">
      <c r="A132" s="51" t="s">
        <v>103</v>
      </c>
      <c r="B132" s="51" t="s">
        <v>389</v>
      </c>
      <c r="C132" s="51" t="s">
        <v>366</v>
      </c>
      <c r="D132" s="51">
        <v>177237</v>
      </c>
      <c r="E132" s="51" t="s">
        <v>238</v>
      </c>
      <c r="F132" s="51">
        <v>352744</v>
      </c>
      <c r="G132" s="51">
        <v>177237</v>
      </c>
      <c r="H132" s="51" t="s">
        <v>392</v>
      </c>
      <c r="I132" s="51" t="s">
        <v>309</v>
      </c>
      <c r="J132" s="51" t="s">
        <v>212</v>
      </c>
      <c r="K132" s="93" t="str">
        <f t="shared" ref="K132:K149" si="40">MID(B132,4,20)</f>
        <v>Ballast</v>
      </c>
      <c r="N132" s="52" t="str">
        <f t="shared" ref="N132:N195" si="41">IF(ISTEXT(A132),A132,"")</f>
        <v>TK-1042</v>
      </c>
      <c r="O132" s="52" t="str">
        <f t="shared" ref="O132:O195" si="42">IF(ISTEXT(B132),B132,"")</f>
        <v>31 Ballast</v>
      </c>
      <c r="P132" s="52">
        <f t="shared" si="28"/>
        <v>0.69599999999999995</v>
      </c>
      <c r="Q132" s="52">
        <f t="shared" si="34"/>
        <v>177.23699999999999</v>
      </c>
      <c r="R132" s="52">
        <f t="shared" si="35"/>
        <v>15</v>
      </c>
      <c r="S132" s="52">
        <f t="shared" si="36"/>
        <v>352.74400000000003</v>
      </c>
      <c r="T132" s="52">
        <f t="shared" si="37"/>
        <v>177.23699999999999</v>
      </c>
      <c r="U132" s="52">
        <f t="shared" si="38"/>
        <v>779.2</v>
      </c>
      <c r="V132" s="52" t="str">
        <f t="shared" si="39"/>
        <v>Low</v>
      </c>
      <c r="W132" s="93">
        <f t="shared" ref="W132:W149" si="43">IF(LEFT(J132,3)="-0.",MID(J132,4,10)/-1000,IF(LEFT(J132,2)="0.",MID(J132,3,10)/1000,IF(ISTEXT(J132),J132,IF(J132=0,"",J132/1000))))</f>
        <v>0</v>
      </c>
    </row>
    <row r="133" spans="1:23" x14ac:dyDescent="0.2">
      <c r="K133" s="93" t="str">
        <f t="shared" si="40"/>
        <v/>
      </c>
      <c r="N133" s="52" t="str">
        <f t="shared" si="41"/>
        <v/>
      </c>
      <c r="O133" s="52" t="str">
        <f t="shared" si="42"/>
        <v/>
      </c>
      <c r="P133" s="52" t="str">
        <f t="shared" si="28"/>
        <v/>
      </c>
      <c r="Q133" s="52" t="str">
        <f t="shared" si="34"/>
        <v/>
      </c>
      <c r="R133" s="52" t="str">
        <f t="shared" si="35"/>
        <v/>
      </c>
      <c r="S133" s="52" t="str">
        <f t="shared" si="36"/>
        <v/>
      </c>
      <c r="T133" s="52" t="str">
        <f t="shared" si="37"/>
        <v/>
      </c>
      <c r="U133" s="52" t="str">
        <f t="shared" si="38"/>
        <v/>
      </c>
      <c r="V133" s="52" t="str">
        <f t="shared" si="39"/>
        <v/>
      </c>
      <c r="W133" s="93" t="str">
        <f t="shared" si="43"/>
        <v/>
      </c>
    </row>
    <row r="134" spans="1:23" x14ac:dyDescent="0.2">
      <c r="K134" s="93" t="str">
        <f t="shared" si="40"/>
        <v/>
      </c>
      <c r="N134" s="52" t="str">
        <f t="shared" si="41"/>
        <v/>
      </c>
      <c r="O134" s="52" t="str">
        <f t="shared" si="42"/>
        <v/>
      </c>
      <c r="P134" s="52" t="str">
        <f t="shared" si="28"/>
        <v/>
      </c>
      <c r="Q134" s="52" t="str">
        <f t="shared" si="34"/>
        <v/>
      </c>
      <c r="R134" s="52" t="str">
        <f t="shared" si="35"/>
        <v/>
      </c>
      <c r="S134" s="52" t="str">
        <f t="shared" si="36"/>
        <v/>
      </c>
      <c r="T134" s="52" t="str">
        <f t="shared" si="37"/>
        <v/>
      </c>
      <c r="U134" s="52" t="str">
        <f t="shared" si="38"/>
        <v/>
      </c>
      <c r="V134" s="52" t="str">
        <f t="shared" si="39"/>
        <v/>
      </c>
      <c r="W134" s="93" t="str">
        <f t="shared" si="43"/>
        <v/>
      </c>
    </row>
    <row r="135" spans="1:23" x14ac:dyDescent="0.2">
      <c r="K135" s="93" t="str">
        <f t="shared" si="40"/>
        <v/>
      </c>
      <c r="N135" s="52" t="str">
        <f t="shared" si="41"/>
        <v/>
      </c>
      <c r="O135" s="52" t="str">
        <f t="shared" si="42"/>
        <v/>
      </c>
      <c r="P135" s="52" t="str">
        <f t="shared" si="28"/>
        <v/>
      </c>
      <c r="Q135" s="52" t="str">
        <f t="shared" si="34"/>
        <v/>
      </c>
      <c r="R135" s="52" t="str">
        <f t="shared" si="35"/>
        <v/>
      </c>
      <c r="S135" s="52" t="str">
        <f t="shared" si="36"/>
        <v/>
      </c>
      <c r="T135" s="52" t="str">
        <f t="shared" si="37"/>
        <v/>
      </c>
      <c r="U135" s="52" t="str">
        <f t="shared" si="38"/>
        <v/>
      </c>
      <c r="V135" s="52" t="str">
        <f t="shared" si="39"/>
        <v/>
      </c>
      <c r="W135" s="93" t="str">
        <f t="shared" si="43"/>
        <v/>
      </c>
    </row>
    <row r="136" spans="1:23" x14ac:dyDescent="0.2">
      <c r="K136" s="93" t="str">
        <f t="shared" si="40"/>
        <v/>
      </c>
      <c r="N136" s="52" t="str">
        <f t="shared" si="41"/>
        <v/>
      </c>
      <c r="O136" s="52" t="str">
        <f t="shared" si="42"/>
        <v/>
      </c>
      <c r="P136" s="52" t="str">
        <f t="shared" si="28"/>
        <v/>
      </c>
      <c r="Q136" s="52" t="str">
        <f t="shared" si="34"/>
        <v/>
      </c>
      <c r="R136" s="52" t="str">
        <f t="shared" si="35"/>
        <v/>
      </c>
      <c r="S136" s="52" t="str">
        <f t="shared" si="36"/>
        <v/>
      </c>
      <c r="T136" s="52" t="str">
        <f t="shared" si="37"/>
        <v/>
      </c>
      <c r="U136" s="52" t="str">
        <f t="shared" si="38"/>
        <v/>
      </c>
      <c r="V136" s="52" t="str">
        <f t="shared" si="39"/>
        <v/>
      </c>
      <c r="W136" s="93" t="str">
        <f t="shared" si="43"/>
        <v/>
      </c>
    </row>
    <row r="137" spans="1:23" x14ac:dyDescent="0.2">
      <c r="K137" s="93" t="str">
        <f t="shared" si="40"/>
        <v/>
      </c>
      <c r="N137" s="52" t="str">
        <f t="shared" si="41"/>
        <v/>
      </c>
      <c r="O137" s="52" t="str">
        <f t="shared" si="42"/>
        <v/>
      </c>
      <c r="P137" s="52" t="str">
        <f t="shared" si="28"/>
        <v/>
      </c>
      <c r="Q137" s="52" t="str">
        <f t="shared" si="34"/>
        <v/>
      </c>
      <c r="R137" s="52" t="str">
        <f t="shared" si="35"/>
        <v/>
      </c>
      <c r="S137" s="52" t="str">
        <f t="shared" si="36"/>
        <v/>
      </c>
      <c r="T137" s="52" t="str">
        <f t="shared" si="37"/>
        <v/>
      </c>
      <c r="U137" s="52" t="str">
        <f t="shared" si="38"/>
        <v/>
      </c>
      <c r="V137" s="52" t="str">
        <f t="shared" si="39"/>
        <v/>
      </c>
      <c r="W137" s="93" t="str">
        <f t="shared" si="43"/>
        <v/>
      </c>
    </row>
    <row r="138" spans="1:23" x14ac:dyDescent="0.2">
      <c r="K138" s="93" t="str">
        <f t="shared" si="40"/>
        <v/>
      </c>
      <c r="N138" s="52" t="str">
        <f t="shared" si="41"/>
        <v/>
      </c>
      <c r="O138" s="52" t="str">
        <f t="shared" si="42"/>
        <v/>
      </c>
      <c r="P138" s="52" t="str">
        <f t="shared" si="28"/>
        <v/>
      </c>
      <c r="Q138" s="52" t="str">
        <f t="shared" si="34"/>
        <v/>
      </c>
      <c r="R138" s="52" t="str">
        <f t="shared" si="35"/>
        <v/>
      </c>
      <c r="S138" s="52" t="str">
        <f t="shared" si="36"/>
        <v/>
      </c>
      <c r="T138" s="52" t="str">
        <f t="shared" si="37"/>
        <v/>
      </c>
      <c r="U138" s="52" t="str">
        <f t="shared" si="38"/>
        <v/>
      </c>
      <c r="V138" s="52" t="str">
        <f t="shared" si="39"/>
        <v/>
      </c>
      <c r="W138" s="93" t="str">
        <f t="shared" si="43"/>
        <v/>
      </c>
    </row>
    <row r="139" spans="1:23" x14ac:dyDescent="0.2">
      <c r="K139" s="93" t="str">
        <f t="shared" si="40"/>
        <v/>
      </c>
      <c r="N139" s="52" t="str">
        <f t="shared" si="41"/>
        <v/>
      </c>
      <c r="O139" s="52" t="str">
        <f t="shared" si="42"/>
        <v/>
      </c>
      <c r="P139" s="52" t="str">
        <f t="shared" ref="P139:P200" si="44">IF(ISTEXT(C139),IF(ISNUMBER(VALUE(SUBSTITUTE(C139,".",","))),VALUE(SUBSTITUTE(C139,".",",")),C139),IF(C139&gt;0,C139/1000,""))</f>
        <v/>
      </c>
      <c r="Q139" s="52" t="str">
        <f t="shared" si="34"/>
        <v/>
      </c>
      <c r="R139" s="52" t="str">
        <f t="shared" si="35"/>
        <v/>
      </c>
      <c r="S139" s="52" t="str">
        <f t="shared" si="36"/>
        <v/>
      </c>
      <c r="T139" s="52" t="str">
        <f t="shared" si="37"/>
        <v/>
      </c>
      <c r="U139" s="52" t="str">
        <f t="shared" si="38"/>
        <v/>
      </c>
      <c r="V139" s="52" t="str">
        <f t="shared" si="39"/>
        <v/>
      </c>
      <c r="W139" s="93" t="str">
        <f t="shared" si="43"/>
        <v/>
      </c>
    </row>
    <row r="140" spans="1:23" x14ac:dyDescent="0.2">
      <c r="K140" s="93" t="str">
        <f t="shared" si="40"/>
        <v/>
      </c>
      <c r="N140" s="52" t="str">
        <f t="shared" si="41"/>
        <v/>
      </c>
      <c r="O140" s="52" t="str">
        <f t="shared" si="42"/>
        <v/>
      </c>
      <c r="P140" s="52" t="str">
        <f t="shared" si="44"/>
        <v/>
      </c>
      <c r="Q140" s="52" t="str">
        <f t="shared" si="34"/>
        <v/>
      </c>
      <c r="R140" s="52" t="str">
        <f t="shared" si="35"/>
        <v/>
      </c>
      <c r="S140" s="52" t="str">
        <f t="shared" si="36"/>
        <v/>
      </c>
      <c r="T140" s="52" t="str">
        <f t="shared" si="37"/>
        <v/>
      </c>
      <c r="U140" s="52" t="str">
        <f t="shared" si="38"/>
        <v/>
      </c>
      <c r="V140" s="52" t="str">
        <f t="shared" si="39"/>
        <v/>
      </c>
      <c r="W140" s="93" t="str">
        <f t="shared" si="43"/>
        <v/>
      </c>
    </row>
    <row r="141" spans="1:23" x14ac:dyDescent="0.2">
      <c r="K141" s="93" t="str">
        <f t="shared" si="40"/>
        <v/>
      </c>
      <c r="N141" s="52" t="str">
        <f t="shared" si="41"/>
        <v/>
      </c>
      <c r="O141" s="52" t="str">
        <f t="shared" si="42"/>
        <v/>
      </c>
      <c r="P141" s="52" t="str">
        <f t="shared" si="44"/>
        <v/>
      </c>
      <c r="Q141" s="52" t="str">
        <f t="shared" si="34"/>
        <v/>
      </c>
      <c r="R141" s="52" t="str">
        <f t="shared" si="35"/>
        <v/>
      </c>
      <c r="S141" s="52" t="str">
        <f t="shared" si="36"/>
        <v/>
      </c>
      <c r="T141" s="52" t="str">
        <f t="shared" si="37"/>
        <v/>
      </c>
      <c r="U141" s="52" t="str">
        <f t="shared" si="38"/>
        <v/>
      </c>
      <c r="V141" s="52" t="str">
        <f t="shared" si="39"/>
        <v/>
      </c>
      <c r="W141" s="93" t="str">
        <f t="shared" si="43"/>
        <v/>
      </c>
    </row>
    <row r="142" spans="1:23" x14ac:dyDescent="0.2">
      <c r="K142" s="93" t="str">
        <f t="shared" si="40"/>
        <v/>
      </c>
      <c r="N142" s="52" t="str">
        <f t="shared" si="41"/>
        <v/>
      </c>
      <c r="O142" s="52" t="str">
        <f t="shared" si="42"/>
        <v/>
      </c>
      <c r="P142" s="52" t="str">
        <f t="shared" si="44"/>
        <v/>
      </c>
      <c r="Q142" s="52" t="str">
        <f t="shared" si="34"/>
        <v/>
      </c>
      <c r="R142" s="52" t="str">
        <f t="shared" si="35"/>
        <v/>
      </c>
      <c r="S142" s="52" t="str">
        <f t="shared" si="36"/>
        <v/>
      </c>
      <c r="T142" s="52" t="str">
        <f t="shared" si="37"/>
        <v/>
      </c>
      <c r="U142" s="52" t="str">
        <f t="shared" si="38"/>
        <v/>
      </c>
      <c r="V142" s="52" t="str">
        <f t="shared" si="39"/>
        <v/>
      </c>
      <c r="W142" s="93" t="str">
        <f t="shared" si="43"/>
        <v/>
      </c>
    </row>
    <row r="143" spans="1:23" x14ac:dyDescent="0.2">
      <c r="K143" s="93" t="str">
        <f t="shared" si="40"/>
        <v/>
      </c>
      <c r="N143" s="52" t="str">
        <f t="shared" si="41"/>
        <v/>
      </c>
      <c r="O143" s="52" t="str">
        <f t="shared" si="42"/>
        <v/>
      </c>
      <c r="P143" s="52" t="str">
        <f t="shared" si="44"/>
        <v/>
      </c>
      <c r="Q143" s="52" t="str">
        <f t="shared" si="34"/>
        <v/>
      </c>
      <c r="R143" s="52" t="str">
        <f t="shared" si="35"/>
        <v/>
      </c>
      <c r="S143" s="52" t="str">
        <f t="shared" si="36"/>
        <v/>
      </c>
      <c r="T143" s="52" t="str">
        <f t="shared" si="37"/>
        <v/>
      </c>
      <c r="U143" s="52" t="str">
        <f t="shared" si="38"/>
        <v/>
      </c>
      <c r="V143" s="52" t="str">
        <f t="shared" si="39"/>
        <v/>
      </c>
      <c r="W143" s="93" t="str">
        <f t="shared" si="43"/>
        <v/>
      </c>
    </row>
    <row r="144" spans="1:23" x14ac:dyDescent="0.2">
      <c r="K144" s="93" t="str">
        <f t="shared" si="40"/>
        <v/>
      </c>
      <c r="N144" s="52" t="str">
        <f t="shared" si="41"/>
        <v/>
      </c>
      <c r="O144" s="52" t="str">
        <f t="shared" si="42"/>
        <v/>
      </c>
      <c r="P144" s="52" t="str">
        <f t="shared" si="44"/>
        <v/>
      </c>
      <c r="Q144" s="52" t="str">
        <f t="shared" si="34"/>
        <v/>
      </c>
      <c r="R144" s="52" t="str">
        <f t="shared" si="35"/>
        <v/>
      </c>
      <c r="S144" s="52" t="str">
        <f t="shared" si="36"/>
        <v/>
      </c>
      <c r="T144" s="52" t="str">
        <f t="shared" si="37"/>
        <v/>
      </c>
      <c r="U144" s="52" t="str">
        <f t="shared" si="38"/>
        <v/>
      </c>
      <c r="V144" s="52" t="str">
        <f t="shared" si="39"/>
        <v/>
      </c>
      <c r="W144" s="93" t="str">
        <f t="shared" si="43"/>
        <v/>
      </c>
    </row>
    <row r="145" spans="11:23" x14ac:dyDescent="0.2">
      <c r="K145" s="93" t="str">
        <f t="shared" si="40"/>
        <v/>
      </c>
      <c r="N145" s="52" t="str">
        <f t="shared" si="41"/>
        <v/>
      </c>
      <c r="O145" s="52" t="str">
        <f t="shared" si="42"/>
        <v/>
      </c>
      <c r="P145" s="52" t="str">
        <f t="shared" si="44"/>
        <v/>
      </c>
      <c r="Q145" s="52" t="str">
        <f t="shared" si="34"/>
        <v/>
      </c>
      <c r="R145" s="52" t="str">
        <f t="shared" si="35"/>
        <v/>
      </c>
      <c r="S145" s="52" t="str">
        <f t="shared" si="36"/>
        <v/>
      </c>
      <c r="T145" s="52" t="str">
        <f t="shared" si="37"/>
        <v/>
      </c>
      <c r="U145" s="52" t="str">
        <f t="shared" si="38"/>
        <v/>
      </c>
      <c r="V145" s="52" t="str">
        <f t="shared" si="39"/>
        <v/>
      </c>
      <c r="W145" s="93" t="str">
        <f t="shared" si="43"/>
        <v/>
      </c>
    </row>
    <row r="146" spans="11:23" x14ac:dyDescent="0.2">
      <c r="K146" s="93" t="str">
        <f t="shared" si="40"/>
        <v/>
      </c>
      <c r="N146" s="52" t="str">
        <f t="shared" si="41"/>
        <v/>
      </c>
      <c r="O146" s="52" t="str">
        <f t="shared" si="42"/>
        <v/>
      </c>
      <c r="P146" s="52" t="str">
        <f t="shared" si="44"/>
        <v/>
      </c>
      <c r="Q146" s="52" t="str">
        <f t="shared" si="34"/>
        <v/>
      </c>
      <c r="R146" s="52" t="str">
        <f t="shared" si="35"/>
        <v/>
      </c>
      <c r="S146" s="52" t="str">
        <f t="shared" si="36"/>
        <v/>
      </c>
      <c r="T146" s="52" t="str">
        <f t="shared" si="37"/>
        <v/>
      </c>
      <c r="U146" s="52" t="str">
        <f t="shared" si="38"/>
        <v/>
      </c>
      <c r="V146" s="52" t="str">
        <f t="shared" si="39"/>
        <v/>
      </c>
      <c r="W146" s="93" t="str">
        <f t="shared" si="43"/>
        <v/>
      </c>
    </row>
    <row r="147" spans="11:23" x14ac:dyDescent="0.2">
      <c r="K147" s="93" t="str">
        <f t="shared" si="40"/>
        <v/>
      </c>
      <c r="N147" s="52" t="str">
        <f t="shared" si="41"/>
        <v/>
      </c>
      <c r="O147" s="52" t="str">
        <f t="shared" si="42"/>
        <v/>
      </c>
      <c r="P147" s="52" t="str">
        <f t="shared" si="44"/>
        <v/>
      </c>
      <c r="Q147" s="52" t="str">
        <f t="shared" si="34"/>
        <v/>
      </c>
      <c r="R147" s="52" t="str">
        <f t="shared" si="35"/>
        <v/>
      </c>
      <c r="S147" s="52" t="str">
        <f t="shared" si="36"/>
        <v/>
      </c>
      <c r="T147" s="52" t="str">
        <f t="shared" si="37"/>
        <v/>
      </c>
      <c r="U147" s="52" t="str">
        <f t="shared" si="38"/>
        <v/>
      </c>
      <c r="V147" s="52" t="str">
        <f t="shared" si="39"/>
        <v/>
      </c>
      <c r="W147" s="93" t="str">
        <f t="shared" si="43"/>
        <v/>
      </c>
    </row>
    <row r="148" spans="11:23" x14ac:dyDescent="0.2">
      <c r="K148" s="93" t="str">
        <f t="shared" si="40"/>
        <v/>
      </c>
      <c r="N148" s="52" t="str">
        <f t="shared" si="41"/>
        <v/>
      </c>
      <c r="O148" s="52" t="str">
        <f t="shared" si="42"/>
        <v/>
      </c>
      <c r="P148" s="52" t="str">
        <f t="shared" si="44"/>
        <v/>
      </c>
      <c r="Q148" s="52" t="str">
        <f t="shared" si="34"/>
        <v/>
      </c>
      <c r="R148" s="52" t="str">
        <f t="shared" si="35"/>
        <v/>
      </c>
      <c r="S148" s="52" t="str">
        <f t="shared" si="36"/>
        <v/>
      </c>
      <c r="T148" s="52" t="str">
        <f t="shared" si="37"/>
        <v/>
      </c>
      <c r="U148" s="52" t="str">
        <f t="shared" si="38"/>
        <v/>
      </c>
      <c r="V148" s="52" t="str">
        <f t="shared" si="39"/>
        <v/>
      </c>
      <c r="W148" s="93" t="str">
        <f t="shared" si="43"/>
        <v/>
      </c>
    </row>
    <row r="149" spans="11:23" x14ac:dyDescent="0.2">
      <c r="K149" s="93" t="str">
        <f t="shared" si="40"/>
        <v/>
      </c>
      <c r="N149" s="52" t="str">
        <f t="shared" si="41"/>
        <v/>
      </c>
      <c r="O149" s="52" t="str">
        <f t="shared" si="42"/>
        <v/>
      </c>
      <c r="P149" s="52" t="str">
        <f t="shared" si="44"/>
        <v/>
      </c>
      <c r="Q149" s="52" t="str">
        <f t="shared" si="34"/>
        <v/>
      </c>
      <c r="R149" s="52" t="str">
        <f t="shared" si="35"/>
        <v/>
      </c>
      <c r="S149" s="52" t="str">
        <f t="shared" si="36"/>
        <v/>
      </c>
      <c r="T149" s="52" t="str">
        <f t="shared" si="37"/>
        <v/>
      </c>
      <c r="U149" s="52" t="str">
        <f t="shared" si="38"/>
        <v/>
      </c>
      <c r="V149" s="52" t="str">
        <f t="shared" si="39"/>
        <v/>
      </c>
      <c r="W149" s="93" t="str">
        <f t="shared" si="43"/>
        <v/>
      </c>
    </row>
    <row r="150" spans="11:23" x14ac:dyDescent="0.2">
      <c r="K150" s="93"/>
      <c r="N150" s="52" t="str">
        <f t="shared" si="41"/>
        <v/>
      </c>
      <c r="O150" s="52" t="str">
        <f t="shared" si="42"/>
        <v/>
      </c>
      <c r="P150" s="52" t="str">
        <f t="shared" si="44"/>
        <v/>
      </c>
      <c r="Q150" s="52" t="str">
        <f t="shared" si="34"/>
        <v/>
      </c>
      <c r="R150" s="52" t="str">
        <f t="shared" si="35"/>
        <v/>
      </c>
      <c r="S150" s="52" t="str">
        <f t="shared" si="36"/>
        <v/>
      </c>
      <c r="T150" s="52" t="str">
        <f t="shared" si="37"/>
        <v/>
      </c>
      <c r="U150" s="52" t="str">
        <f t="shared" si="38"/>
        <v/>
      </c>
      <c r="V150" s="52" t="str">
        <f t="shared" si="39"/>
        <v/>
      </c>
      <c r="W150" s="93" t="str">
        <f t="shared" ref="W150:W195" si="45">IF(J150=0,"",J150)</f>
        <v/>
      </c>
    </row>
    <row r="151" spans="11:23" x14ac:dyDescent="0.2">
      <c r="K151" s="93"/>
      <c r="N151" s="52" t="str">
        <f t="shared" si="41"/>
        <v/>
      </c>
      <c r="O151" s="52" t="str">
        <f t="shared" si="42"/>
        <v/>
      </c>
      <c r="P151" s="52" t="str">
        <f t="shared" si="44"/>
        <v/>
      </c>
      <c r="Q151" s="52" t="str">
        <f t="shared" si="34"/>
        <v/>
      </c>
      <c r="R151" s="52" t="str">
        <f t="shared" si="35"/>
        <v/>
      </c>
      <c r="S151" s="52" t="str">
        <f t="shared" si="36"/>
        <v/>
      </c>
      <c r="T151" s="52" t="str">
        <f t="shared" si="37"/>
        <v/>
      </c>
      <c r="U151" s="52" t="str">
        <f t="shared" si="38"/>
        <v/>
      </c>
      <c r="V151" s="52" t="str">
        <f t="shared" si="39"/>
        <v/>
      </c>
      <c r="W151" s="93" t="str">
        <f t="shared" si="45"/>
        <v/>
      </c>
    </row>
    <row r="152" spans="11:23" x14ac:dyDescent="0.2">
      <c r="K152" s="93"/>
      <c r="N152" s="52" t="str">
        <f t="shared" si="41"/>
        <v/>
      </c>
      <c r="O152" s="52" t="str">
        <f t="shared" si="42"/>
        <v/>
      </c>
      <c r="P152" s="52" t="str">
        <f t="shared" si="44"/>
        <v/>
      </c>
      <c r="Q152" s="52" t="str">
        <f t="shared" si="34"/>
        <v/>
      </c>
      <c r="R152" s="52" t="str">
        <f t="shared" si="35"/>
        <v/>
      </c>
      <c r="S152" s="52" t="str">
        <f t="shared" si="36"/>
        <v/>
      </c>
      <c r="T152" s="52" t="str">
        <f t="shared" si="37"/>
        <v/>
      </c>
      <c r="U152" s="52" t="str">
        <f t="shared" si="38"/>
        <v/>
      </c>
      <c r="V152" s="52" t="str">
        <f t="shared" si="39"/>
        <v/>
      </c>
      <c r="W152" s="93" t="str">
        <f t="shared" si="45"/>
        <v/>
      </c>
    </row>
    <row r="153" spans="11:23" x14ac:dyDescent="0.2">
      <c r="K153" s="93"/>
      <c r="N153" s="52" t="str">
        <f t="shared" si="41"/>
        <v/>
      </c>
      <c r="O153" s="52" t="str">
        <f t="shared" si="42"/>
        <v/>
      </c>
      <c r="P153" s="52" t="str">
        <f t="shared" si="44"/>
        <v/>
      </c>
      <c r="Q153" s="52" t="str">
        <f t="shared" si="34"/>
        <v/>
      </c>
      <c r="R153" s="52" t="str">
        <f t="shared" si="35"/>
        <v/>
      </c>
      <c r="S153" s="52" t="str">
        <f t="shared" si="36"/>
        <v/>
      </c>
      <c r="T153" s="52" t="str">
        <f t="shared" si="37"/>
        <v/>
      </c>
      <c r="U153" s="52" t="str">
        <f t="shared" si="38"/>
        <v/>
      </c>
      <c r="V153" s="52" t="str">
        <f t="shared" si="39"/>
        <v/>
      </c>
      <c r="W153" s="93" t="str">
        <f t="shared" si="45"/>
        <v/>
      </c>
    </row>
    <row r="154" spans="11:23" x14ac:dyDescent="0.2">
      <c r="K154" s="93"/>
      <c r="N154" s="52" t="str">
        <f t="shared" si="41"/>
        <v/>
      </c>
      <c r="O154" s="52" t="str">
        <f t="shared" si="42"/>
        <v/>
      </c>
      <c r="P154" s="52" t="str">
        <f t="shared" si="44"/>
        <v/>
      </c>
      <c r="Q154" s="52" t="str">
        <f t="shared" si="34"/>
        <v/>
      </c>
      <c r="R154" s="52" t="str">
        <f t="shared" si="35"/>
        <v/>
      </c>
      <c r="S154" s="52" t="str">
        <f t="shared" si="36"/>
        <v/>
      </c>
      <c r="T154" s="52" t="str">
        <f t="shared" si="37"/>
        <v/>
      </c>
      <c r="U154" s="52" t="str">
        <f t="shared" si="38"/>
        <v/>
      </c>
      <c r="V154" s="52" t="str">
        <f t="shared" si="39"/>
        <v/>
      </c>
      <c r="W154" s="93" t="str">
        <f t="shared" si="45"/>
        <v/>
      </c>
    </row>
    <row r="155" spans="11:23" x14ac:dyDescent="0.2">
      <c r="K155" s="93"/>
      <c r="N155" s="52" t="str">
        <f t="shared" si="41"/>
        <v/>
      </c>
      <c r="O155" s="52" t="str">
        <f t="shared" si="42"/>
        <v/>
      </c>
      <c r="P155" s="52" t="str">
        <f t="shared" si="44"/>
        <v/>
      </c>
      <c r="Q155" s="52" t="str">
        <f t="shared" si="34"/>
        <v/>
      </c>
      <c r="R155" s="52" t="str">
        <f t="shared" si="35"/>
        <v/>
      </c>
      <c r="S155" s="52" t="str">
        <f t="shared" si="36"/>
        <v/>
      </c>
      <c r="T155" s="52" t="str">
        <f t="shared" si="37"/>
        <v/>
      </c>
      <c r="U155" s="52" t="str">
        <f t="shared" si="38"/>
        <v/>
      </c>
      <c r="V155" s="52" t="str">
        <f t="shared" si="39"/>
        <v/>
      </c>
      <c r="W155" s="93" t="str">
        <f t="shared" si="45"/>
        <v/>
      </c>
    </row>
    <row r="156" spans="11:23" x14ac:dyDescent="0.2">
      <c r="K156" s="93"/>
      <c r="N156" s="52" t="str">
        <f t="shared" si="41"/>
        <v/>
      </c>
      <c r="O156" s="52" t="str">
        <f t="shared" si="42"/>
        <v/>
      </c>
      <c r="P156" s="52" t="str">
        <f t="shared" si="44"/>
        <v/>
      </c>
      <c r="Q156" s="52" t="str">
        <f t="shared" si="34"/>
        <v/>
      </c>
      <c r="R156" s="52" t="str">
        <f t="shared" si="35"/>
        <v/>
      </c>
      <c r="S156" s="52" t="str">
        <f t="shared" si="36"/>
        <v/>
      </c>
      <c r="T156" s="52" t="str">
        <f t="shared" si="37"/>
        <v/>
      </c>
      <c r="U156" s="52" t="str">
        <f t="shared" si="38"/>
        <v/>
      </c>
      <c r="V156" s="52" t="str">
        <f t="shared" si="39"/>
        <v/>
      </c>
      <c r="W156" s="93" t="str">
        <f t="shared" si="45"/>
        <v/>
      </c>
    </row>
    <row r="157" spans="11:23" x14ac:dyDescent="0.2">
      <c r="K157" s="93"/>
      <c r="N157" s="52" t="str">
        <f t="shared" si="41"/>
        <v/>
      </c>
      <c r="O157" s="52" t="str">
        <f t="shared" si="42"/>
        <v/>
      </c>
      <c r="P157" s="52" t="str">
        <f t="shared" si="44"/>
        <v/>
      </c>
      <c r="Q157" s="52" t="str">
        <f t="shared" si="34"/>
        <v/>
      </c>
      <c r="R157" s="52" t="str">
        <f t="shared" si="35"/>
        <v/>
      </c>
      <c r="S157" s="52" t="str">
        <f t="shared" si="36"/>
        <v/>
      </c>
      <c r="T157" s="52" t="str">
        <f t="shared" si="37"/>
        <v/>
      </c>
      <c r="U157" s="52" t="str">
        <f t="shared" si="38"/>
        <v/>
      </c>
      <c r="V157" s="52" t="str">
        <f t="shared" si="39"/>
        <v/>
      </c>
      <c r="W157" s="93" t="str">
        <f t="shared" si="45"/>
        <v/>
      </c>
    </row>
    <row r="158" spans="11:23" x14ac:dyDescent="0.2">
      <c r="K158" s="93"/>
      <c r="N158" s="52" t="str">
        <f t="shared" si="41"/>
        <v/>
      </c>
      <c r="O158" s="52" t="str">
        <f t="shared" si="42"/>
        <v/>
      </c>
      <c r="P158" s="52" t="str">
        <f t="shared" si="44"/>
        <v/>
      </c>
      <c r="Q158" s="52" t="str">
        <f t="shared" si="34"/>
        <v/>
      </c>
      <c r="R158" s="52" t="str">
        <f t="shared" si="35"/>
        <v/>
      </c>
      <c r="S158" s="52" t="str">
        <f t="shared" si="36"/>
        <v/>
      </c>
      <c r="T158" s="52" t="str">
        <f t="shared" si="37"/>
        <v/>
      </c>
      <c r="U158" s="52" t="str">
        <f t="shared" si="38"/>
        <v/>
      </c>
      <c r="V158" s="52" t="str">
        <f t="shared" si="39"/>
        <v/>
      </c>
      <c r="W158" s="93" t="str">
        <f t="shared" si="45"/>
        <v/>
      </c>
    </row>
    <row r="159" spans="11:23" x14ac:dyDescent="0.2">
      <c r="K159" s="93"/>
      <c r="N159" s="52" t="str">
        <f t="shared" si="41"/>
        <v/>
      </c>
      <c r="O159" s="52" t="str">
        <f t="shared" si="42"/>
        <v/>
      </c>
      <c r="P159" s="52" t="str">
        <f t="shared" si="44"/>
        <v/>
      </c>
      <c r="Q159" s="52" t="str">
        <f t="shared" si="34"/>
        <v/>
      </c>
      <c r="R159" s="52" t="str">
        <f t="shared" si="35"/>
        <v/>
      </c>
      <c r="S159" s="52" t="str">
        <f t="shared" si="36"/>
        <v/>
      </c>
      <c r="T159" s="52" t="str">
        <f t="shared" si="37"/>
        <v/>
      </c>
      <c r="U159" s="52" t="str">
        <f t="shared" si="38"/>
        <v/>
      </c>
      <c r="V159" s="52" t="str">
        <f t="shared" si="39"/>
        <v/>
      </c>
      <c r="W159" s="93" t="str">
        <f t="shared" si="45"/>
        <v/>
      </c>
    </row>
    <row r="160" spans="11:23" x14ac:dyDescent="0.2">
      <c r="K160" s="93"/>
      <c r="N160" s="52" t="str">
        <f t="shared" si="41"/>
        <v/>
      </c>
      <c r="O160" s="52" t="str">
        <f t="shared" si="42"/>
        <v/>
      </c>
      <c r="P160" s="52" t="str">
        <f t="shared" si="44"/>
        <v/>
      </c>
      <c r="Q160" s="52" t="str">
        <f t="shared" si="34"/>
        <v/>
      </c>
      <c r="R160" s="52" t="str">
        <f t="shared" si="35"/>
        <v/>
      </c>
      <c r="S160" s="52" t="str">
        <f t="shared" si="36"/>
        <v/>
      </c>
      <c r="T160" s="52" t="str">
        <f t="shared" si="37"/>
        <v/>
      </c>
      <c r="U160" s="52" t="str">
        <f t="shared" si="38"/>
        <v/>
      </c>
      <c r="V160" s="52" t="str">
        <f t="shared" si="39"/>
        <v/>
      </c>
      <c r="W160" s="93" t="str">
        <f t="shared" si="45"/>
        <v/>
      </c>
    </row>
    <row r="161" spans="11:23" x14ac:dyDescent="0.2">
      <c r="K161" s="93"/>
      <c r="N161" s="52" t="str">
        <f t="shared" si="41"/>
        <v/>
      </c>
      <c r="O161" s="52" t="str">
        <f t="shared" si="42"/>
        <v/>
      </c>
      <c r="P161" s="52" t="str">
        <f t="shared" si="44"/>
        <v/>
      </c>
      <c r="Q161" s="52" t="str">
        <f t="shared" si="34"/>
        <v/>
      </c>
      <c r="R161" s="52" t="str">
        <f t="shared" si="35"/>
        <v/>
      </c>
      <c r="S161" s="52" t="str">
        <f t="shared" si="36"/>
        <v/>
      </c>
      <c r="T161" s="52" t="str">
        <f t="shared" si="37"/>
        <v/>
      </c>
      <c r="U161" s="52" t="str">
        <f t="shared" si="38"/>
        <v/>
      </c>
      <c r="V161" s="52" t="str">
        <f t="shared" si="39"/>
        <v/>
      </c>
      <c r="W161" s="93" t="str">
        <f t="shared" si="45"/>
        <v/>
      </c>
    </row>
    <row r="162" spans="11:23" x14ac:dyDescent="0.2">
      <c r="K162" s="93"/>
      <c r="N162" s="52" t="str">
        <f t="shared" si="41"/>
        <v/>
      </c>
      <c r="O162" s="52" t="str">
        <f t="shared" si="42"/>
        <v/>
      </c>
      <c r="P162" s="52" t="str">
        <f t="shared" si="44"/>
        <v/>
      </c>
      <c r="Q162" s="52" t="str">
        <f t="shared" si="34"/>
        <v/>
      </c>
      <c r="R162" s="52" t="str">
        <f t="shared" si="35"/>
        <v/>
      </c>
      <c r="S162" s="52" t="str">
        <f t="shared" si="36"/>
        <v/>
      </c>
      <c r="T162" s="52" t="str">
        <f t="shared" si="37"/>
        <v/>
      </c>
      <c r="U162" s="52" t="str">
        <f t="shared" si="38"/>
        <v/>
      </c>
      <c r="V162" s="52" t="str">
        <f t="shared" si="39"/>
        <v/>
      </c>
      <c r="W162" s="93" t="str">
        <f t="shared" si="45"/>
        <v/>
      </c>
    </row>
    <row r="163" spans="11:23" x14ac:dyDescent="0.2">
      <c r="K163" s="93"/>
      <c r="N163" s="52" t="str">
        <f t="shared" si="41"/>
        <v/>
      </c>
      <c r="O163" s="52" t="str">
        <f t="shared" si="42"/>
        <v/>
      </c>
      <c r="P163" s="52" t="str">
        <f t="shared" si="44"/>
        <v/>
      </c>
      <c r="Q163" s="52" t="str">
        <f t="shared" si="34"/>
        <v/>
      </c>
      <c r="R163" s="52" t="str">
        <f t="shared" ref="R163:R194" si="46">IF(ISNUMBER(VALUE(SUBSTITUTE(E163,".",","))),VALUE(SUBSTITUTE(E163,".",",")),"")</f>
        <v/>
      </c>
      <c r="S163" s="52" t="str">
        <f t="shared" ref="S163:S194" si="47">IF(ISTEXT(F163),F163,IF(F163&gt;0,F163/1000,""))</f>
        <v/>
      </c>
      <c r="T163" s="52" t="str">
        <f t="shared" ref="T163:T194" si="48">IF(ISTEXT(G163),G163,IF(G163&gt;0,G163/1000,""))</f>
        <v/>
      </c>
      <c r="U163" s="52" t="str">
        <f t="shared" ref="U163:U194" si="49">IF(ISNUMBER(VALUE(SUBSTITUTE(H163,".",","))),VALUE(SUBSTITUTE(H163,".",",")),"")</f>
        <v/>
      </c>
      <c r="V163" s="52" t="str">
        <f t="shared" ref="V163:V194" si="50">IF(ISTEXT(I163),I163,"")</f>
        <v/>
      </c>
      <c r="W163" s="93" t="str">
        <f t="shared" si="45"/>
        <v/>
      </c>
    </row>
    <row r="164" spans="11:23" x14ac:dyDescent="0.2">
      <c r="K164" s="93"/>
      <c r="N164" s="52" t="str">
        <f t="shared" si="41"/>
        <v/>
      </c>
      <c r="O164" s="52" t="str">
        <f t="shared" si="42"/>
        <v/>
      </c>
      <c r="P164" s="52" t="str">
        <f t="shared" si="44"/>
        <v/>
      </c>
      <c r="Q164" s="52" t="str">
        <f t="shared" si="34"/>
        <v/>
      </c>
      <c r="R164" s="52" t="str">
        <f t="shared" si="46"/>
        <v/>
      </c>
      <c r="S164" s="52" t="str">
        <f t="shared" si="47"/>
        <v/>
      </c>
      <c r="T164" s="52" t="str">
        <f t="shared" si="48"/>
        <v/>
      </c>
      <c r="U164" s="52" t="str">
        <f t="shared" si="49"/>
        <v/>
      </c>
      <c r="V164" s="52" t="str">
        <f t="shared" si="50"/>
        <v/>
      </c>
      <c r="W164" s="93" t="str">
        <f t="shared" si="45"/>
        <v/>
      </c>
    </row>
    <row r="165" spans="11:23" x14ac:dyDescent="0.2">
      <c r="K165" s="93"/>
      <c r="N165" s="52" t="str">
        <f t="shared" si="41"/>
        <v/>
      </c>
      <c r="O165" s="52" t="str">
        <f t="shared" si="42"/>
        <v/>
      </c>
      <c r="P165" s="52" t="str">
        <f t="shared" si="44"/>
        <v/>
      </c>
      <c r="Q165" s="52" t="str">
        <f t="shared" si="34"/>
        <v/>
      </c>
      <c r="R165" s="52" t="str">
        <f t="shared" si="46"/>
        <v/>
      </c>
      <c r="S165" s="52" t="str">
        <f t="shared" si="47"/>
        <v/>
      </c>
      <c r="T165" s="52" t="str">
        <f t="shared" si="48"/>
        <v/>
      </c>
      <c r="U165" s="52" t="str">
        <f t="shared" si="49"/>
        <v/>
      </c>
      <c r="V165" s="52" t="str">
        <f t="shared" si="50"/>
        <v/>
      </c>
      <c r="W165" s="93" t="str">
        <f t="shared" si="45"/>
        <v/>
      </c>
    </row>
    <row r="166" spans="11:23" x14ac:dyDescent="0.2">
      <c r="K166" s="93"/>
      <c r="N166" s="52" t="str">
        <f t="shared" si="41"/>
        <v/>
      </c>
      <c r="O166" s="52" t="str">
        <f t="shared" si="42"/>
        <v/>
      </c>
      <c r="P166" s="52" t="str">
        <f t="shared" si="44"/>
        <v/>
      </c>
      <c r="Q166" s="52" t="str">
        <f t="shared" si="34"/>
        <v/>
      </c>
      <c r="R166" s="52" t="str">
        <f t="shared" si="46"/>
        <v/>
      </c>
      <c r="S166" s="52" t="str">
        <f t="shared" si="47"/>
        <v/>
      </c>
      <c r="T166" s="52" t="str">
        <f t="shared" si="48"/>
        <v/>
      </c>
      <c r="U166" s="52" t="str">
        <f t="shared" si="49"/>
        <v/>
      </c>
      <c r="V166" s="52" t="str">
        <f t="shared" si="50"/>
        <v/>
      </c>
      <c r="W166" s="93" t="str">
        <f t="shared" si="45"/>
        <v/>
      </c>
    </row>
    <row r="167" spans="11:23" x14ac:dyDescent="0.2">
      <c r="K167" s="93"/>
      <c r="N167" s="52" t="str">
        <f t="shared" si="41"/>
        <v/>
      </c>
      <c r="O167" s="52" t="str">
        <f t="shared" si="42"/>
        <v/>
      </c>
      <c r="P167" s="52" t="str">
        <f t="shared" si="44"/>
        <v/>
      </c>
      <c r="Q167" s="52" t="str">
        <f t="shared" si="34"/>
        <v/>
      </c>
      <c r="R167" s="52" t="str">
        <f t="shared" si="46"/>
        <v/>
      </c>
      <c r="S167" s="52" t="str">
        <f t="shared" si="47"/>
        <v/>
      </c>
      <c r="T167" s="52" t="str">
        <f t="shared" si="48"/>
        <v/>
      </c>
      <c r="U167" s="52" t="str">
        <f t="shared" si="49"/>
        <v/>
      </c>
      <c r="V167" s="52" t="str">
        <f t="shared" si="50"/>
        <v/>
      </c>
      <c r="W167" s="93" t="str">
        <f t="shared" si="45"/>
        <v/>
      </c>
    </row>
    <row r="168" spans="11:23" x14ac:dyDescent="0.2">
      <c r="K168" s="93"/>
      <c r="N168" s="52" t="str">
        <f t="shared" si="41"/>
        <v/>
      </c>
      <c r="O168" s="52" t="str">
        <f t="shared" si="42"/>
        <v/>
      </c>
      <c r="P168" s="52" t="str">
        <f t="shared" si="44"/>
        <v/>
      </c>
      <c r="Q168" s="52" t="str">
        <f t="shared" si="34"/>
        <v/>
      </c>
      <c r="R168" s="52" t="str">
        <f t="shared" si="46"/>
        <v/>
      </c>
      <c r="S168" s="52" t="str">
        <f t="shared" si="47"/>
        <v/>
      </c>
      <c r="T168" s="52" t="str">
        <f t="shared" si="48"/>
        <v/>
      </c>
      <c r="U168" s="52" t="str">
        <f t="shared" si="49"/>
        <v/>
      </c>
      <c r="V168" s="52" t="str">
        <f t="shared" si="50"/>
        <v/>
      </c>
      <c r="W168" s="93" t="str">
        <f t="shared" si="45"/>
        <v/>
      </c>
    </row>
    <row r="169" spans="11:23" x14ac:dyDescent="0.2">
      <c r="K169" s="93"/>
      <c r="N169" s="52" t="str">
        <f t="shared" si="41"/>
        <v/>
      </c>
      <c r="O169" s="52" t="str">
        <f t="shared" si="42"/>
        <v/>
      </c>
      <c r="P169" s="52" t="str">
        <f t="shared" si="44"/>
        <v/>
      </c>
      <c r="Q169" s="52" t="str">
        <f t="shared" si="34"/>
        <v/>
      </c>
      <c r="R169" s="52" t="str">
        <f t="shared" si="46"/>
        <v/>
      </c>
      <c r="S169" s="52" t="str">
        <f t="shared" si="47"/>
        <v/>
      </c>
      <c r="T169" s="52" t="str">
        <f t="shared" si="48"/>
        <v/>
      </c>
      <c r="U169" s="52" t="str">
        <f t="shared" si="49"/>
        <v/>
      </c>
      <c r="V169" s="52" t="str">
        <f t="shared" si="50"/>
        <v/>
      </c>
      <c r="W169" s="93" t="str">
        <f t="shared" si="45"/>
        <v/>
      </c>
    </row>
    <row r="170" spans="11:23" x14ac:dyDescent="0.2">
      <c r="K170" s="93"/>
      <c r="N170" s="52" t="str">
        <f t="shared" si="41"/>
        <v/>
      </c>
      <c r="O170" s="52" t="str">
        <f t="shared" si="42"/>
        <v/>
      </c>
      <c r="P170" s="52" t="str">
        <f t="shared" si="44"/>
        <v/>
      </c>
      <c r="Q170" s="52" t="str">
        <f t="shared" si="34"/>
        <v/>
      </c>
      <c r="R170" s="52" t="str">
        <f t="shared" si="46"/>
        <v/>
      </c>
      <c r="S170" s="52" t="str">
        <f t="shared" si="47"/>
        <v/>
      </c>
      <c r="T170" s="52" t="str">
        <f t="shared" si="48"/>
        <v/>
      </c>
      <c r="U170" s="52" t="str">
        <f t="shared" si="49"/>
        <v/>
      </c>
      <c r="V170" s="52" t="str">
        <f t="shared" si="50"/>
        <v/>
      </c>
      <c r="W170" s="93" t="str">
        <f t="shared" si="45"/>
        <v/>
      </c>
    </row>
    <row r="171" spans="11:23" x14ac:dyDescent="0.2">
      <c r="N171" s="52" t="str">
        <f t="shared" si="41"/>
        <v/>
      </c>
      <c r="O171" s="52" t="str">
        <f t="shared" si="42"/>
        <v/>
      </c>
      <c r="P171" s="52" t="str">
        <f t="shared" si="44"/>
        <v/>
      </c>
      <c r="Q171" s="52" t="str">
        <f t="shared" si="34"/>
        <v/>
      </c>
      <c r="R171" s="52" t="str">
        <f t="shared" si="46"/>
        <v/>
      </c>
      <c r="S171" s="52" t="str">
        <f t="shared" si="47"/>
        <v/>
      </c>
      <c r="T171" s="52" t="str">
        <f t="shared" si="48"/>
        <v/>
      </c>
      <c r="U171" s="52" t="str">
        <f t="shared" si="49"/>
        <v/>
      </c>
      <c r="V171" s="52" t="str">
        <f t="shared" si="50"/>
        <v/>
      </c>
      <c r="W171" s="52" t="str">
        <f t="shared" si="45"/>
        <v/>
      </c>
    </row>
    <row r="172" spans="11:23" x14ac:dyDescent="0.2">
      <c r="N172" s="52" t="str">
        <f t="shared" si="41"/>
        <v/>
      </c>
      <c r="O172" s="52" t="str">
        <f t="shared" si="42"/>
        <v/>
      </c>
      <c r="P172" s="52" t="str">
        <f t="shared" si="44"/>
        <v/>
      </c>
      <c r="Q172" s="52" t="str">
        <f t="shared" si="34"/>
        <v/>
      </c>
      <c r="R172" s="52" t="str">
        <f t="shared" si="46"/>
        <v/>
      </c>
      <c r="S172" s="52" t="str">
        <f t="shared" si="47"/>
        <v/>
      </c>
      <c r="T172" s="52" t="str">
        <f t="shared" si="48"/>
        <v/>
      </c>
      <c r="U172" s="52" t="str">
        <f t="shared" si="49"/>
        <v/>
      </c>
      <c r="V172" s="52" t="str">
        <f t="shared" si="50"/>
        <v/>
      </c>
      <c r="W172" s="52" t="str">
        <f t="shared" si="45"/>
        <v/>
      </c>
    </row>
    <row r="173" spans="11:23" x14ac:dyDescent="0.2">
      <c r="N173" s="52" t="str">
        <f t="shared" si="41"/>
        <v/>
      </c>
      <c r="O173" s="52" t="str">
        <f t="shared" si="42"/>
        <v/>
      </c>
      <c r="P173" s="52" t="str">
        <f t="shared" si="44"/>
        <v/>
      </c>
      <c r="Q173" s="52" t="str">
        <f t="shared" si="34"/>
        <v/>
      </c>
      <c r="R173" s="52" t="str">
        <f t="shared" si="46"/>
        <v/>
      </c>
      <c r="S173" s="52" t="str">
        <f t="shared" si="47"/>
        <v/>
      </c>
      <c r="T173" s="52" t="str">
        <f t="shared" si="48"/>
        <v/>
      </c>
      <c r="U173" s="52" t="str">
        <f t="shared" si="49"/>
        <v/>
      </c>
      <c r="V173" s="52" t="str">
        <f t="shared" si="50"/>
        <v/>
      </c>
      <c r="W173" s="52" t="str">
        <f t="shared" si="45"/>
        <v/>
      </c>
    </row>
    <row r="174" spans="11:23" x14ac:dyDescent="0.2">
      <c r="N174" s="52" t="str">
        <f t="shared" si="41"/>
        <v/>
      </c>
      <c r="O174" s="52" t="str">
        <f t="shared" si="42"/>
        <v/>
      </c>
      <c r="P174" s="52" t="str">
        <f t="shared" si="44"/>
        <v/>
      </c>
      <c r="Q174" s="52" t="str">
        <f t="shared" si="34"/>
        <v/>
      </c>
      <c r="R174" s="52" t="str">
        <f t="shared" si="46"/>
        <v/>
      </c>
      <c r="S174" s="52" t="str">
        <f t="shared" si="47"/>
        <v/>
      </c>
      <c r="T174" s="52" t="str">
        <f t="shared" si="48"/>
        <v/>
      </c>
      <c r="U174" s="52" t="str">
        <f t="shared" si="49"/>
        <v/>
      </c>
      <c r="V174" s="52" t="str">
        <f t="shared" si="50"/>
        <v/>
      </c>
      <c r="W174" s="52" t="str">
        <f t="shared" si="45"/>
        <v/>
      </c>
    </row>
    <row r="175" spans="11:23" x14ac:dyDescent="0.2">
      <c r="N175" s="52" t="str">
        <f t="shared" si="41"/>
        <v/>
      </c>
      <c r="O175" s="52" t="str">
        <f t="shared" si="42"/>
        <v/>
      </c>
      <c r="P175" s="52" t="str">
        <f t="shared" si="44"/>
        <v/>
      </c>
      <c r="Q175" s="52" t="str">
        <f t="shared" si="34"/>
        <v/>
      </c>
      <c r="R175" s="52" t="str">
        <f t="shared" si="46"/>
        <v/>
      </c>
      <c r="S175" s="52" t="str">
        <f t="shared" si="47"/>
        <v/>
      </c>
      <c r="T175" s="52" t="str">
        <f t="shared" si="48"/>
        <v/>
      </c>
      <c r="U175" s="52" t="str">
        <f t="shared" si="49"/>
        <v/>
      </c>
      <c r="V175" s="52" t="str">
        <f t="shared" si="50"/>
        <v/>
      </c>
      <c r="W175" s="52" t="str">
        <f t="shared" si="45"/>
        <v/>
      </c>
    </row>
    <row r="176" spans="11:23" x14ac:dyDescent="0.2">
      <c r="N176" s="52" t="str">
        <f t="shared" si="41"/>
        <v/>
      </c>
      <c r="O176" s="52" t="str">
        <f t="shared" si="42"/>
        <v/>
      </c>
      <c r="P176" s="52" t="str">
        <f t="shared" si="44"/>
        <v/>
      </c>
      <c r="Q176" s="52" t="str">
        <f t="shared" si="34"/>
        <v/>
      </c>
      <c r="R176" s="52" t="str">
        <f t="shared" si="46"/>
        <v/>
      </c>
      <c r="S176" s="52" t="str">
        <f t="shared" si="47"/>
        <v/>
      </c>
      <c r="T176" s="52" t="str">
        <f t="shared" si="48"/>
        <v/>
      </c>
      <c r="U176" s="52" t="str">
        <f t="shared" si="49"/>
        <v/>
      </c>
      <c r="V176" s="52" t="str">
        <f t="shared" si="50"/>
        <v/>
      </c>
      <c r="W176" s="52" t="str">
        <f t="shared" si="45"/>
        <v/>
      </c>
    </row>
    <row r="177" spans="14:23" x14ac:dyDescent="0.2">
      <c r="N177" s="52" t="str">
        <f t="shared" si="41"/>
        <v/>
      </c>
      <c r="O177" s="52" t="str">
        <f t="shared" si="42"/>
        <v/>
      </c>
      <c r="P177" s="52" t="str">
        <f t="shared" si="44"/>
        <v/>
      </c>
      <c r="Q177" s="52" t="str">
        <f t="shared" si="34"/>
        <v/>
      </c>
      <c r="R177" s="52" t="str">
        <f t="shared" si="46"/>
        <v/>
      </c>
      <c r="S177" s="52" t="str">
        <f t="shared" si="47"/>
        <v/>
      </c>
      <c r="T177" s="52" t="str">
        <f t="shared" si="48"/>
        <v/>
      </c>
      <c r="U177" s="52" t="str">
        <f t="shared" si="49"/>
        <v/>
      </c>
      <c r="V177" s="52" t="str">
        <f t="shared" si="50"/>
        <v/>
      </c>
      <c r="W177" s="52" t="str">
        <f t="shared" si="45"/>
        <v/>
      </c>
    </row>
    <row r="178" spans="14:23" x14ac:dyDescent="0.2">
      <c r="N178" s="52" t="str">
        <f t="shared" si="41"/>
        <v/>
      </c>
      <c r="O178" s="52" t="str">
        <f t="shared" si="42"/>
        <v/>
      </c>
      <c r="P178" s="52" t="str">
        <f t="shared" si="44"/>
        <v/>
      </c>
      <c r="Q178" s="52" t="str">
        <f t="shared" si="34"/>
        <v/>
      </c>
      <c r="R178" s="52" t="str">
        <f t="shared" si="46"/>
        <v/>
      </c>
      <c r="S178" s="52" t="str">
        <f t="shared" si="47"/>
        <v/>
      </c>
      <c r="T178" s="52" t="str">
        <f t="shared" si="48"/>
        <v/>
      </c>
      <c r="U178" s="52" t="str">
        <f t="shared" si="49"/>
        <v/>
      </c>
      <c r="V178" s="52" t="str">
        <f t="shared" si="50"/>
        <v/>
      </c>
      <c r="W178" s="52" t="str">
        <f t="shared" si="45"/>
        <v/>
      </c>
    </row>
    <row r="179" spans="14:23" x14ac:dyDescent="0.2">
      <c r="N179" s="52" t="str">
        <f t="shared" si="41"/>
        <v/>
      </c>
      <c r="O179" s="52" t="str">
        <f t="shared" si="42"/>
        <v/>
      </c>
      <c r="P179" s="52" t="str">
        <f t="shared" si="44"/>
        <v/>
      </c>
      <c r="Q179" s="52" t="str">
        <f t="shared" si="34"/>
        <v/>
      </c>
      <c r="R179" s="52" t="str">
        <f t="shared" si="46"/>
        <v/>
      </c>
      <c r="S179" s="52" t="str">
        <f t="shared" si="47"/>
        <v/>
      </c>
      <c r="T179" s="52" t="str">
        <f t="shared" si="48"/>
        <v/>
      </c>
      <c r="U179" s="52" t="str">
        <f t="shared" si="49"/>
        <v/>
      </c>
      <c r="V179" s="52" t="str">
        <f t="shared" si="50"/>
        <v/>
      </c>
      <c r="W179" s="52" t="str">
        <f t="shared" si="45"/>
        <v/>
      </c>
    </row>
    <row r="180" spans="14:23" x14ac:dyDescent="0.2">
      <c r="N180" s="52" t="str">
        <f t="shared" si="41"/>
        <v/>
      </c>
      <c r="O180" s="52" t="str">
        <f t="shared" si="42"/>
        <v/>
      </c>
      <c r="P180" s="52" t="str">
        <f t="shared" si="44"/>
        <v/>
      </c>
      <c r="Q180" s="52" t="str">
        <f t="shared" si="34"/>
        <v/>
      </c>
      <c r="R180" s="52" t="str">
        <f t="shared" si="46"/>
        <v/>
      </c>
      <c r="S180" s="52" t="str">
        <f t="shared" si="47"/>
        <v/>
      </c>
      <c r="T180" s="52" t="str">
        <f t="shared" si="48"/>
        <v/>
      </c>
      <c r="U180" s="52" t="str">
        <f t="shared" si="49"/>
        <v/>
      </c>
      <c r="V180" s="52" t="str">
        <f t="shared" si="50"/>
        <v/>
      </c>
      <c r="W180" s="52" t="str">
        <f t="shared" si="45"/>
        <v/>
      </c>
    </row>
    <row r="181" spans="14:23" x14ac:dyDescent="0.2">
      <c r="N181" s="52" t="str">
        <f t="shared" si="41"/>
        <v/>
      </c>
      <c r="O181" s="52" t="str">
        <f t="shared" si="42"/>
        <v/>
      </c>
      <c r="P181" s="52" t="str">
        <f t="shared" si="44"/>
        <v/>
      </c>
      <c r="Q181" s="52" t="str">
        <f t="shared" si="34"/>
        <v/>
      </c>
      <c r="R181" s="52" t="str">
        <f t="shared" si="46"/>
        <v/>
      </c>
      <c r="S181" s="52" t="str">
        <f t="shared" si="47"/>
        <v/>
      </c>
      <c r="T181" s="52" t="str">
        <f t="shared" si="48"/>
        <v/>
      </c>
      <c r="U181" s="52" t="str">
        <f t="shared" si="49"/>
        <v/>
      </c>
      <c r="V181" s="52" t="str">
        <f t="shared" si="50"/>
        <v/>
      </c>
      <c r="W181" s="52" t="str">
        <f t="shared" si="45"/>
        <v/>
      </c>
    </row>
    <row r="182" spans="14:23" x14ac:dyDescent="0.2">
      <c r="N182" s="52" t="str">
        <f t="shared" si="41"/>
        <v/>
      </c>
      <c r="O182" s="52" t="str">
        <f t="shared" si="42"/>
        <v/>
      </c>
      <c r="P182" s="52" t="str">
        <f t="shared" si="44"/>
        <v/>
      </c>
      <c r="Q182" s="52" t="str">
        <f t="shared" si="34"/>
        <v/>
      </c>
      <c r="R182" s="52" t="str">
        <f t="shared" si="46"/>
        <v/>
      </c>
      <c r="S182" s="52" t="str">
        <f t="shared" si="47"/>
        <v/>
      </c>
      <c r="T182" s="52" t="str">
        <f t="shared" si="48"/>
        <v/>
      </c>
      <c r="U182" s="52" t="str">
        <f t="shared" si="49"/>
        <v/>
      </c>
      <c r="V182" s="52" t="str">
        <f t="shared" si="50"/>
        <v/>
      </c>
      <c r="W182" s="52" t="str">
        <f t="shared" si="45"/>
        <v/>
      </c>
    </row>
    <row r="183" spans="14:23" x14ac:dyDescent="0.2">
      <c r="N183" s="52" t="str">
        <f t="shared" si="41"/>
        <v/>
      </c>
      <c r="O183" s="52" t="str">
        <f t="shared" si="42"/>
        <v/>
      </c>
      <c r="P183" s="52" t="str">
        <f t="shared" si="44"/>
        <v/>
      </c>
      <c r="Q183" s="52" t="str">
        <f t="shared" ref="Q183:Q200" si="51">IF(ISTEXT(D183),IF(LEFT(D183,1)="0",VALUE(LEFT(D183,1)),D183),IF(D183&gt;0,D183/1000,""))</f>
        <v/>
      </c>
      <c r="R183" s="52" t="str">
        <f t="shared" si="46"/>
        <v/>
      </c>
      <c r="S183" s="52" t="str">
        <f t="shared" si="47"/>
        <v/>
      </c>
      <c r="T183" s="52" t="str">
        <f t="shared" si="48"/>
        <v/>
      </c>
      <c r="U183" s="52" t="str">
        <f t="shared" si="49"/>
        <v/>
      </c>
      <c r="V183" s="52" t="str">
        <f t="shared" si="50"/>
        <v/>
      </c>
      <c r="W183" s="52" t="str">
        <f t="shared" si="45"/>
        <v/>
      </c>
    </row>
    <row r="184" spans="14:23" x14ac:dyDescent="0.2">
      <c r="N184" s="52" t="str">
        <f t="shared" si="41"/>
        <v/>
      </c>
      <c r="O184" s="52" t="str">
        <f t="shared" si="42"/>
        <v/>
      </c>
      <c r="P184" s="52" t="str">
        <f t="shared" si="44"/>
        <v/>
      </c>
      <c r="Q184" s="52" t="str">
        <f t="shared" si="51"/>
        <v/>
      </c>
      <c r="R184" s="52" t="str">
        <f t="shared" si="46"/>
        <v/>
      </c>
      <c r="S184" s="52" t="str">
        <f t="shared" si="47"/>
        <v/>
      </c>
      <c r="T184" s="52" t="str">
        <f t="shared" si="48"/>
        <v/>
      </c>
      <c r="U184" s="52" t="str">
        <f t="shared" si="49"/>
        <v/>
      </c>
      <c r="V184" s="52" t="str">
        <f t="shared" si="50"/>
        <v/>
      </c>
      <c r="W184" s="52" t="str">
        <f t="shared" si="45"/>
        <v/>
      </c>
    </row>
    <row r="185" spans="14:23" x14ac:dyDescent="0.2">
      <c r="N185" s="52" t="str">
        <f t="shared" si="41"/>
        <v/>
      </c>
      <c r="O185" s="52" t="str">
        <f t="shared" si="42"/>
        <v/>
      </c>
      <c r="P185" s="52" t="str">
        <f t="shared" si="44"/>
        <v/>
      </c>
      <c r="Q185" s="52" t="str">
        <f t="shared" si="51"/>
        <v/>
      </c>
      <c r="R185" s="52" t="str">
        <f t="shared" si="46"/>
        <v/>
      </c>
      <c r="S185" s="52" t="str">
        <f t="shared" si="47"/>
        <v/>
      </c>
      <c r="T185" s="52" t="str">
        <f t="shared" si="48"/>
        <v/>
      </c>
      <c r="U185" s="52" t="str">
        <f t="shared" si="49"/>
        <v/>
      </c>
      <c r="V185" s="52" t="str">
        <f t="shared" si="50"/>
        <v/>
      </c>
      <c r="W185" s="52" t="str">
        <f t="shared" si="45"/>
        <v/>
      </c>
    </row>
    <row r="186" spans="14:23" x14ac:dyDescent="0.2">
      <c r="N186" s="52" t="str">
        <f t="shared" si="41"/>
        <v/>
      </c>
      <c r="O186" s="52" t="str">
        <f t="shared" si="42"/>
        <v/>
      </c>
      <c r="P186" s="52" t="str">
        <f t="shared" si="44"/>
        <v/>
      </c>
      <c r="Q186" s="52" t="str">
        <f t="shared" si="51"/>
        <v/>
      </c>
      <c r="R186" s="52" t="str">
        <f t="shared" si="46"/>
        <v/>
      </c>
      <c r="S186" s="52" t="str">
        <f t="shared" si="47"/>
        <v/>
      </c>
      <c r="T186" s="52" t="str">
        <f t="shared" si="48"/>
        <v/>
      </c>
      <c r="U186" s="52" t="str">
        <f t="shared" si="49"/>
        <v/>
      </c>
      <c r="V186" s="52" t="str">
        <f t="shared" si="50"/>
        <v/>
      </c>
      <c r="W186" s="52" t="str">
        <f t="shared" si="45"/>
        <v/>
      </c>
    </row>
    <row r="187" spans="14:23" x14ac:dyDescent="0.2">
      <c r="N187" s="52" t="str">
        <f t="shared" si="41"/>
        <v/>
      </c>
      <c r="O187" s="52" t="str">
        <f t="shared" si="42"/>
        <v/>
      </c>
      <c r="P187" s="52" t="str">
        <f t="shared" si="44"/>
        <v/>
      </c>
      <c r="Q187" s="52" t="str">
        <f t="shared" si="51"/>
        <v/>
      </c>
      <c r="R187" s="52" t="str">
        <f t="shared" si="46"/>
        <v/>
      </c>
      <c r="S187" s="52" t="str">
        <f t="shared" si="47"/>
        <v/>
      </c>
      <c r="T187" s="52" t="str">
        <f t="shared" si="48"/>
        <v/>
      </c>
      <c r="U187" s="52" t="str">
        <f t="shared" si="49"/>
        <v/>
      </c>
      <c r="V187" s="52" t="str">
        <f t="shared" si="50"/>
        <v/>
      </c>
      <c r="W187" s="52" t="str">
        <f t="shared" si="45"/>
        <v/>
      </c>
    </row>
    <row r="188" spans="14:23" x14ac:dyDescent="0.2">
      <c r="N188" s="52" t="str">
        <f t="shared" si="41"/>
        <v/>
      </c>
      <c r="O188" s="52" t="str">
        <f t="shared" si="42"/>
        <v/>
      </c>
      <c r="P188" s="52" t="str">
        <f t="shared" si="44"/>
        <v/>
      </c>
      <c r="Q188" s="52" t="str">
        <f t="shared" si="51"/>
        <v/>
      </c>
      <c r="R188" s="52" t="str">
        <f t="shared" si="46"/>
        <v/>
      </c>
      <c r="S188" s="52" t="str">
        <f t="shared" si="47"/>
        <v/>
      </c>
      <c r="T188" s="52" t="str">
        <f t="shared" si="48"/>
        <v/>
      </c>
      <c r="U188" s="52" t="str">
        <f t="shared" si="49"/>
        <v/>
      </c>
      <c r="V188" s="52" t="str">
        <f t="shared" si="50"/>
        <v/>
      </c>
      <c r="W188" s="52" t="str">
        <f t="shared" si="45"/>
        <v/>
      </c>
    </row>
    <row r="189" spans="14:23" x14ac:dyDescent="0.2">
      <c r="N189" s="52" t="str">
        <f t="shared" si="41"/>
        <v/>
      </c>
      <c r="O189" s="52" t="str">
        <f t="shared" si="42"/>
        <v/>
      </c>
      <c r="P189" s="52" t="str">
        <f t="shared" si="44"/>
        <v/>
      </c>
      <c r="Q189" s="52" t="str">
        <f t="shared" si="51"/>
        <v/>
      </c>
      <c r="R189" s="52" t="str">
        <f t="shared" si="46"/>
        <v/>
      </c>
      <c r="S189" s="52" t="str">
        <f t="shared" si="47"/>
        <v/>
      </c>
      <c r="T189" s="52" t="str">
        <f t="shared" si="48"/>
        <v/>
      </c>
      <c r="U189" s="52" t="str">
        <f t="shared" si="49"/>
        <v/>
      </c>
      <c r="V189" s="52" t="str">
        <f t="shared" si="50"/>
        <v/>
      </c>
      <c r="W189" s="52" t="str">
        <f t="shared" si="45"/>
        <v/>
      </c>
    </row>
    <row r="190" spans="14:23" x14ac:dyDescent="0.2">
      <c r="N190" s="52" t="str">
        <f t="shared" si="41"/>
        <v/>
      </c>
      <c r="O190" s="52" t="str">
        <f t="shared" si="42"/>
        <v/>
      </c>
      <c r="P190" s="52" t="str">
        <f t="shared" si="44"/>
        <v/>
      </c>
      <c r="Q190" s="52" t="str">
        <f t="shared" si="51"/>
        <v/>
      </c>
      <c r="R190" s="52" t="str">
        <f t="shared" si="46"/>
        <v/>
      </c>
      <c r="S190" s="52" t="str">
        <f t="shared" si="47"/>
        <v/>
      </c>
      <c r="T190" s="52" t="str">
        <f t="shared" si="48"/>
        <v/>
      </c>
      <c r="U190" s="52" t="str">
        <f t="shared" si="49"/>
        <v/>
      </c>
      <c r="V190" s="52" t="str">
        <f t="shared" si="50"/>
        <v/>
      </c>
      <c r="W190" s="52" t="str">
        <f t="shared" si="45"/>
        <v/>
      </c>
    </row>
    <row r="191" spans="14:23" x14ac:dyDescent="0.2">
      <c r="N191" s="52" t="str">
        <f t="shared" si="41"/>
        <v/>
      </c>
      <c r="O191" s="52" t="str">
        <f t="shared" si="42"/>
        <v/>
      </c>
      <c r="P191" s="52" t="str">
        <f t="shared" si="44"/>
        <v/>
      </c>
      <c r="Q191" s="52" t="str">
        <f t="shared" si="51"/>
        <v/>
      </c>
      <c r="R191" s="52" t="str">
        <f t="shared" si="46"/>
        <v/>
      </c>
      <c r="S191" s="52" t="str">
        <f t="shared" si="47"/>
        <v/>
      </c>
      <c r="T191" s="52" t="str">
        <f t="shared" si="48"/>
        <v/>
      </c>
      <c r="U191" s="52" t="str">
        <f t="shared" si="49"/>
        <v/>
      </c>
      <c r="V191" s="52" t="str">
        <f t="shared" si="50"/>
        <v/>
      </c>
      <c r="W191" s="52" t="str">
        <f t="shared" si="45"/>
        <v/>
      </c>
    </row>
    <row r="192" spans="14:23" x14ac:dyDescent="0.2">
      <c r="N192" s="52" t="str">
        <f t="shared" si="41"/>
        <v/>
      </c>
      <c r="O192" s="52" t="str">
        <f t="shared" si="42"/>
        <v/>
      </c>
      <c r="P192" s="52" t="str">
        <f t="shared" si="44"/>
        <v/>
      </c>
      <c r="Q192" s="52" t="str">
        <f t="shared" si="51"/>
        <v/>
      </c>
      <c r="R192" s="52" t="str">
        <f t="shared" si="46"/>
        <v/>
      </c>
      <c r="S192" s="52" t="str">
        <f t="shared" si="47"/>
        <v/>
      </c>
      <c r="T192" s="52" t="str">
        <f t="shared" si="48"/>
        <v/>
      </c>
      <c r="U192" s="52" t="str">
        <f t="shared" si="49"/>
        <v/>
      </c>
      <c r="V192" s="52" t="str">
        <f t="shared" si="50"/>
        <v/>
      </c>
      <c r="W192" s="52" t="str">
        <f t="shared" si="45"/>
        <v/>
      </c>
    </row>
    <row r="193" spans="14:23" x14ac:dyDescent="0.2">
      <c r="N193" s="52" t="str">
        <f t="shared" si="41"/>
        <v/>
      </c>
      <c r="O193" s="52" t="str">
        <f t="shared" si="42"/>
        <v/>
      </c>
      <c r="P193" s="52" t="str">
        <f t="shared" si="44"/>
        <v/>
      </c>
      <c r="Q193" s="52" t="str">
        <f t="shared" si="51"/>
        <v/>
      </c>
      <c r="R193" s="52" t="str">
        <f t="shared" si="46"/>
        <v/>
      </c>
      <c r="S193" s="52" t="str">
        <f t="shared" si="47"/>
        <v/>
      </c>
      <c r="T193" s="52" t="str">
        <f t="shared" si="48"/>
        <v/>
      </c>
      <c r="U193" s="52" t="str">
        <f t="shared" si="49"/>
        <v/>
      </c>
      <c r="V193" s="52" t="str">
        <f t="shared" si="50"/>
        <v/>
      </c>
      <c r="W193" s="52" t="str">
        <f t="shared" si="45"/>
        <v/>
      </c>
    </row>
    <row r="194" spans="14:23" x14ac:dyDescent="0.2">
      <c r="N194" s="52" t="str">
        <f t="shared" si="41"/>
        <v/>
      </c>
      <c r="O194" s="52" t="str">
        <f t="shared" si="42"/>
        <v/>
      </c>
      <c r="P194" s="52" t="str">
        <f t="shared" si="44"/>
        <v/>
      </c>
      <c r="Q194" s="52" t="str">
        <f t="shared" si="51"/>
        <v/>
      </c>
      <c r="R194" s="52" t="str">
        <f t="shared" si="46"/>
        <v/>
      </c>
      <c r="S194" s="52" t="str">
        <f t="shared" si="47"/>
        <v/>
      </c>
      <c r="T194" s="52" t="str">
        <f t="shared" si="48"/>
        <v/>
      </c>
      <c r="U194" s="52" t="str">
        <f t="shared" si="49"/>
        <v/>
      </c>
      <c r="V194" s="52" t="str">
        <f t="shared" si="50"/>
        <v/>
      </c>
      <c r="W194" s="52" t="str">
        <f t="shared" si="45"/>
        <v/>
      </c>
    </row>
    <row r="195" spans="14:23" x14ac:dyDescent="0.2">
      <c r="N195" s="52" t="str">
        <f t="shared" si="41"/>
        <v/>
      </c>
      <c r="O195" s="52" t="str">
        <f t="shared" si="42"/>
        <v/>
      </c>
      <c r="P195" s="52" t="str">
        <f t="shared" si="44"/>
        <v/>
      </c>
      <c r="Q195" s="52" t="str">
        <f t="shared" si="51"/>
        <v/>
      </c>
      <c r="R195" s="52" t="str">
        <f t="shared" ref="R195:R200" si="52">IF(ISNUMBER(VALUE(SUBSTITUTE(E195,".",","))),VALUE(SUBSTITUTE(E195,".",",")),"")</f>
        <v/>
      </c>
      <c r="S195" s="52" t="str">
        <f t="shared" ref="S195:S200" si="53">IF(ISTEXT(F195),F195,IF(F195&gt;0,F195/1000,""))</f>
        <v/>
      </c>
      <c r="T195" s="52" t="str">
        <f t="shared" ref="T195:T200" si="54">IF(ISTEXT(G195),G195,IF(G195&gt;0,G195/1000,""))</f>
        <v/>
      </c>
      <c r="U195" s="52" t="str">
        <f t="shared" ref="U195:U200" si="55">IF(ISNUMBER(VALUE(SUBSTITUTE(H195,".",","))),VALUE(SUBSTITUTE(H195,".",",")),"")</f>
        <v/>
      </c>
      <c r="V195" s="52" t="str">
        <f t="shared" ref="V195:V200" si="56">IF(ISTEXT(I195),I195,"")</f>
        <v/>
      </c>
      <c r="W195" s="52" t="str">
        <f t="shared" si="45"/>
        <v/>
      </c>
    </row>
    <row r="196" spans="14:23" x14ac:dyDescent="0.2">
      <c r="N196" s="52" t="str">
        <f t="shared" ref="N196:O200" si="57">IF(ISTEXT(A196),A196,"")</f>
        <v/>
      </c>
      <c r="O196" s="52" t="str">
        <f t="shared" si="57"/>
        <v/>
      </c>
      <c r="P196" s="52" t="str">
        <f t="shared" si="44"/>
        <v/>
      </c>
      <c r="Q196" s="52" t="str">
        <f t="shared" si="51"/>
        <v/>
      </c>
      <c r="R196" s="52" t="str">
        <f t="shared" si="52"/>
        <v/>
      </c>
      <c r="S196" s="52" t="str">
        <f t="shared" si="53"/>
        <v/>
      </c>
      <c r="T196" s="52" t="str">
        <f t="shared" si="54"/>
        <v/>
      </c>
      <c r="U196" s="52" t="str">
        <f t="shared" si="55"/>
        <v/>
      </c>
      <c r="V196" s="52" t="str">
        <f t="shared" si="56"/>
        <v/>
      </c>
      <c r="W196" s="52" t="str">
        <f>IF(J196=0,"",J196)</f>
        <v/>
      </c>
    </row>
    <row r="197" spans="14:23" x14ac:dyDescent="0.2">
      <c r="N197" s="52" t="str">
        <f t="shared" si="57"/>
        <v/>
      </c>
      <c r="O197" s="52" t="str">
        <f t="shared" si="57"/>
        <v/>
      </c>
      <c r="P197" s="52" t="str">
        <f t="shared" si="44"/>
        <v/>
      </c>
      <c r="Q197" s="52" t="str">
        <f t="shared" si="51"/>
        <v/>
      </c>
      <c r="R197" s="52" t="str">
        <f t="shared" si="52"/>
        <v/>
      </c>
      <c r="S197" s="52" t="str">
        <f t="shared" si="53"/>
        <v/>
      </c>
      <c r="T197" s="52" t="str">
        <f t="shared" si="54"/>
        <v/>
      </c>
      <c r="U197" s="52" t="str">
        <f t="shared" si="55"/>
        <v/>
      </c>
      <c r="V197" s="52" t="str">
        <f t="shared" si="56"/>
        <v/>
      </c>
      <c r="W197" s="52" t="str">
        <f>IF(J197=0,"",J197)</f>
        <v/>
      </c>
    </row>
    <row r="198" spans="14:23" x14ac:dyDescent="0.2">
      <c r="N198" s="52" t="str">
        <f t="shared" si="57"/>
        <v/>
      </c>
      <c r="O198" s="52" t="str">
        <f t="shared" si="57"/>
        <v/>
      </c>
      <c r="P198" s="52" t="str">
        <f t="shared" si="44"/>
        <v/>
      </c>
      <c r="Q198" s="52" t="str">
        <f t="shared" si="51"/>
        <v/>
      </c>
      <c r="R198" s="52" t="str">
        <f t="shared" si="52"/>
        <v/>
      </c>
      <c r="S198" s="52" t="str">
        <f t="shared" si="53"/>
        <v/>
      </c>
      <c r="T198" s="52" t="str">
        <f t="shared" si="54"/>
        <v/>
      </c>
      <c r="U198" s="52" t="str">
        <f t="shared" si="55"/>
        <v/>
      </c>
      <c r="V198" s="52" t="str">
        <f t="shared" si="56"/>
        <v/>
      </c>
      <c r="W198" s="52" t="str">
        <f>IF(J198=0,"",J198)</f>
        <v/>
      </c>
    </row>
    <row r="199" spans="14:23" x14ac:dyDescent="0.2">
      <c r="N199" s="52" t="str">
        <f t="shared" si="57"/>
        <v/>
      </c>
      <c r="O199" s="52" t="str">
        <f t="shared" si="57"/>
        <v/>
      </c>
      <c r="P199" s="52" t="str">
        <f t="shared" si="44"/>
        <v/>
      </c>
      <c r="Q199" s="52" t="str">
        <f t="shared" si="51"/>
        <v/>
      </c>
      <c r="R199" s="52" t="str">
        <f t="shared" si="52"/>
        <v/>
      </c>
      <c r="S199" s="52" t="str">
        <f t="shared" si="53"/>
        <v/>
      </c>
      <c r="T199" s="52" t="str">
        <f t="shared" si="54"/>
        <v/>
      </c>
      <c r="U199" s="52" t="str">
        <f t="shared" si="55"/>
        <v/>
      </c>
      <c r="V199" s="52" t="str">
        <f t="shared" si="56"/>
        <v/>
      </c>
      <c r="W199" s="52" t="str">
        <f>IF(J199=0,"",J199)</f>
        <v/>
      </c>
    </row>
    <row r="200" spans="14:23" x14ac:dyDescent="0.2">
      <c r="N200" s="52" t="str">
        <f t="shared" si="57"/>
        <v/>
      </c>
      <c r="O200" s="52" t="str">
        <f t="shared" si="57"/>
        <v/>
      </c>
      <c r="P200" s="52" t="str">
        <f t="shared" si="44"/>
        <v/>
      </c>
      <c r="Q200" s="52" t="str">
        <f t="shared" si="51"/>
        <v/>
      </c>
      <c r="R200" s="52" t="str">
        <f t="shared" si="52"/>
        <v/>
      </c>
      <c r="S200" s="52" t="str">
        <f t="shared" si="53"/>
        <v/>
      </c>
      <c r="T200" s="52" t="str">
        <f t="shared" si="54"/>
        <v/>
      </c>
      <c r="U200" s="52" t="str">
        <f t="shared" si="55"/>
        <v/>
      </c>
      <c r="V200" s="52" t="str">
        <f t="shared" si="56"/>
        <v/>
      </c>
      <c r="W200" s="52" t="str">
        <f>IF(J200=0,"",J200)</f>
        <v/>
      </c>
    </row>
  </sheetData>
  <dataConsolidate topLabels="1">
    <dataRefs count="1">
      <dataRef ref="D1:D65536" sheet="Sheet6"/>
    </dataRefs>
  </dataConsolidate>
  <phoneticPr fontId="0" type="noConversion"/>
  <pageMargins left="0.75" right="0.75" top="1" bottom="1" header="0.5" footer="0.5"/>
  <pageSetup paperSize="9" orientation="portrait" horizontalDpi="204" verticalDpi="196" r:id="rId1"/>
  <headerFooter alignWithMargins="0">
    <oddHeader>&amp;A</oddHeader>
    <oddFooter>Page &amp;P</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Z167"/>
  <sheetViews>
    <sheetView workbookViewId="0">
      <selection activeCell="A4" sqref="A4"/>
    </sheetView>
  </sheetViews>
  <sheetFormatPr defaultRowHeight="12.75" x14ac:dyDescent="0.2"/>
  <cols>
    <col min="1" max="1" width="11.28515625" customWidth="1"/>
    <col min="2" max="2" width="13.7109375" bestFit="1" customWidth="1"/>
    <col min="4" max="4" width="10.28515625" bestFit="1" customWidth="1"/>
    <col min="9" max="9" width="12.7109375" customWidth="1"/>
    <col min="10" max="10" width="11.85546875" customWidth="1"/>
  </cols>
  <sheetData>
    <row r="1" spans="1:26" ht="15" x14ac:dyDescent="0.25">
      <c r="A1" s="79"/>
      <c r="B1" s="55"/>
      <c r="C1" s="55"/>
      <c r="D1" s="55"/>
      <c r="E1" s="56" t="s">
        <v>192</v>
      </c>
      <c r="F1" s="55"/>
      <c r="G1" s="55"/>
      <c r="H1" s="55"/>
      <c r="I1" s="55"/>
      <c r="J1" s="55"/>
      <c r="K1" s="55"/>
      <c r="L1" s="55"/>
      <c r="M1" s="55"/>
      <c r="N1" s="55"/>
    </row>
    <row r="2" spans="1:26" ht="15.75" thickBot="1" x14ac:dyDescent="0.25">
      <c r="A2" s="83"/>
      <c r="B2" s="80"/>
      <c r="C2" s="55"/>
      <c r="D2" s="55"/>
      <c r="E2" s="57" t="s">
        <v>193</v>
      </c>
      <c r="F2" s="55"/>
      <c r="G2" s="55"/>
      <c r="H2" s="55"/>
      <c r="I2" s="55"/>
      <c r="J2" s="96">
        <f ca="1">Sheet3!F1</f>
        <v>43538.504687152781</v>
      </c>
      <c r="K2" s="58">
        <v>0.99930555555555556</v>
      </c>
      <c r="L2" s="52"/>
      <c r="M2" s="55"/>
      <c r="N2" s="55"/>
    </row>
    <row r="3" spans="1:26" ht="39" thickBot="1" x14ac:dyDescent="0.25">
      <c r="A3" s="107" t="s">
        <v>0</v>
      </c>
      <c r="B3" s="108" t="s">
        <v>1</v>
      </c>
      <c r="C3" s="109" t="s">
        <v>2</v>
      </c>
      <c r="D3" s="110" t="s">
        <v>138</v>
      </c>
      <c r="E3" s="109" t="s">
        <v>3</v>
      </c>
      <c r="F3" s="110" t="s">
        <v>191</v>
      </c>
      <c r="G3" s="109" t="s">
        <v>4</v>
      </c>
      <c r="H3" s="109" t="s">
        <v>5</v>
      </c>
      <c r="I3" s="110" t="s">
        <v>6</v>
      </c>
      <c r="J3" s="110" t="s">
        <v>7</v>
      </c>
      <c r="K3" s="110" t="s">
        <v>8</v>
      </c>
      <c r="L3" s="110" t="s">
        <v>9</v>
      </c>
      <c r="M3" s="110" t="s">
        <v>10</v>
      </c>
      <c r="N3" s="111" t="s">
        <v>11</v>
      </c>
    </row>
    <row r="4" spans="1:26" x14ac:dyDescent="0.2">
      <c r="A4" s="112" t="s">
        <v>14</v>
      </c>
      <c r="B4" s="113" t="s">
        <v>239</v>
      </c>
      <c r="C4" s="114">
        <v>36643</v>
      </c>
      <c r="D4" s="114" t="s">
        <v>169</v>
      </c>
      <c r="E4" s="114">
        <v>36643.1</v>
      </c>
      <c r="F4" s="115">
        <v>15</v>
      </c>
      <c r="G4" s="114">
        <v>36643.1</v>
      </c>
      <c r="H4" s="114" t="s">
        <v>13</v>
      </c>
      <c r="I4" s="114">
        <v>35</v>
      </c>
      <c r="J4" s="114">
        <v>6200</v>
      </c>
      <c r="K4" s="114">
        <v>30443.1</v>
      </c>
      <c r="L4" s="116" t="s">
        <v>13</v>
      </c>
      <c r="M4" s="116" t="s">
        <v>13</v>
      </c>
      <c r="N4" s="117">
        <v>0.8296</v>
      </c>
    </row>
    <row r="5" spans="1:26" x14ac:dyDescent="0.2">
      <c r="A5" s="112" t="s">
        <v>15</v>
      </c>
      <c r="B5" s="113" t="s">
        <v>239</v>
      </c>
      <c r="C5" s="114">
        <v>36665</v>
      </c>
      <c r="D5" s="114" t="s">
        <v>144</v>
      </c>
      <c r="E5" s="114">
        <v>28662.1</v>
      </c>
      <c r="F5" s="115">
        <v>27</v>
      </c>
      <c r="G5" s="114">
        <v>28376.9</v>
      </c>
      <c r="H5" s="114">
        <v>7793.3</v>
      </c>
      <c r="I5" s="114">
        <v>85.9</v>
      </c>
      <c r="J5" s="114">
        <v>6200</v>
      </c>
      <c r="K5" s="114">
        <v>22462.1</v>
      </c>
      <c r="L5" s="116">
        <v>90</v>
      </c>
      <c r="M5" s="116" t="s">
        <v>13</v>
      </c>
      <c r="N5" s="117">
        <v>0.83460000000000001</v>
      </c>
    </row>
    <row r="6" spans="1:26" x14ac:dyDescent="0.2">
      <c r="A6" s="112" t="s">
        <v>16</v>
      </c>
      <c r="B6" s="113" t="s">
        <v>239</v>
      </c>
      <c r="C6" s="114">
        <v>36659</v>
      </c>
      <c r="D6" s="114" t="s">
        <v>145</v>
      </c>
      <c r="E6" s="114">
        <v>16399.099999999999</v>
      </c>
      <c r="F6" s="115">
        <v>16.8</v>
      </c>
      <c r="G6" s="114">
        <v>16373.6</v>
      </c>
      <c r="H6" s="114">
        <v>20048.3</v>
      </c>
      <c r="I6" s="114">
        <v>-13030.3</v>
      </c>
      <c r="J6" s="114">
        <v>6200</v>
      </c>
      <c r="K6" s="114">
        <v>10199.1</v>
      </c>
      <c r="L6" s="116" t="s">
        <v>13</v>
      </c>
      <c r="M6" s="116">
        <v>0</v>
      </c>
      <c r="N6" s="117">
        <v>0.84499999999999997</v>
      </c>
    </row>
    <row r="7" spans="1:26" x14ac:dyDescent="0.2">
      <c r="A7" s="112" t="s">
        <v>18</v>
      </c>
      <c r="B7" s="113" t="s">
        <v>239</v>
      </c>
      <c r="C7" s="114">
        <v>58532</v>
      </c>
      <c r="D7" s="114" t="s">
        <v>19</v>
      </c>
      <c r="E7" s="114">
        <v>34912.699999999997</v>
      </c>
      <c r="F7" s="115">
        <v>21.6</v>
      </c>
      <c r="G7" s="114">
        <v>34623.300000000003</v>
      </c>
      <c r="H7" s="114">
        <v>23221.9</v>
      </c>
      <c r="I7" s="114">
        <v>7344.6</v>
      </c>
      <c r="J7" s="114">
        <v>9550</v>
      </c>
      <c r="K7" s="114">
        <v>25362.7</v>
      </c>
      <c r="L7" s="116">
        <v>3</v>
      </c>
      <c r="M7" s="116" t="s">
        <v>13</v>
      </c>
      <c r="N7" s="117">
        <v>0.84510000000000007</v>
      </c>
    </row>
    <row r="8" spans="1:26" x14ac:dyDescent="0.2">
      <c r="A8" s="112" t="s">
        <v>155</v>
      </c>
      <c r="B8" s="113" t="s">
        <v>239</v>
      </c>
      <c r="C8" s="114">
        <v>77207</v>
      </c>
      <c r="D8" s="114" t="s">
        <v>157</v>
      </c>
      <c r="E8" s="114">
        <v>66062.7</v>
      </c>
      <c r="F8" s="115">
        <v>17.600000000000001</v>
      </c>
      <c r="G8" s="114">
        <v>65931.899999999994</v>
      </c>
      <c r="H8" s="114">
        <v>10488.1</v>
      </c>
      <c r="I8" s="114">
        <v>5.4</v>
      </c>
      <c r="J8" s="114">
        <v>10870</v>
      </c>
      <c r="K8" s="114">
        <v>55192.7</v>
      </c>
      <c r="L8" s="116">
        <v>1942</v>
      </c>
      <c r="M8" s="116" t="s">
        <v>13</v>
      </c>
      <c r="N8" s="117">
        <v>0.876</v>
      </c>
      <c r="O8" s="2"/>
      <c r="P8" s="2"/>
      <c r="Q8" s="2"/>
      <c r="R8" s="2"/>
      <c r="S8" s="2"/>
      <c r="T8" s="2"/>
      <c r="U8" s="2"/>
      <c r="V8" s="3"/>
      <c r="W8" s="3"/>
      <c r="X8" s="2"/>
      <c r="Y8" s="2"/>
      <c r="Z8" s="3"/>
    </row>
    <row r="9" spans="1:26" x14ac:dyDescent="0.2">
      <c r="A9" s="112" t="s">
        <v>156</v>
      </c>
      <c r="B9" s="113" t="s">
        <v>239</v>
      </c>
      <c r="C9" s="114">
        <v>77209</v>
      </c>
      <c r="D9" s="114" t="s">
        <v>158</v>
      </c>
      <c r="E9" s="114">
        <v>76845</v>
      </c>
      <c r="F9" s="115">
        <v>16.8</v>
      </c>
      <c r="G9" s="114">
        <v>76733.5</v>
      </c>
      <c r="H9" s="114" t="s">
        <v>13</v>
      </c>
      <c r="I9" s="114">
        <v>15.9</v>
      </c>
      <c r="J9" s="114">
        <v>10870</v>
      </c>
      <c r="K9" s="114">
        <v>65975</v>
      </c>
      <c r="L9" s="116" t="s">
        <v>13</v>
      </c>
      <c r="M9" s="116" t="s">
        <v>13</v>
      </c>
      <c r="N9" s="117">
        <v>0.872</v>
      </c>
    </row>
    <row r="10" spans="1:26" x14ac:dyDescent="0.2">
      <c r="A10" s="112" t="s">
        <v>175</v>
      </c>
      <c r="B10" s="113" t="s">
        <v>239</v>
      </c>
      <c r="C10" s="114">
        <v>56984</v>
      </c>
      <c r="D10" s="114" t="s">
        <v>178</v>
      </c>
      <c r="E10" s="114">
        <v>56346.6</v>
      </c>
      <c r="F10" s="115">
        <v>17.3</v>
      </c>
      <c r="G10" s="114">
        <v>56222.7</v>
      </c>
      <c r="H10" s="114">
        <v>88.1</v>
      </c>
      <c r="I10" s="114">
        <v>39.799999999999997</v>
      </c>
      <c r="J10" s="114">
        <v>6070</v>
      </c>
      <c r="K10" s="114">
        <v>50276.6</v>
      </c>
      <c r="L10" s="116">
        <v>2</v>
      </c>
      <c r="M10" s="116" t="s">
        <v>13</v>
      </c>
      <c r="N10" s="117">
        <v>0.80200000000000005</v>
      </c>
    </row>
    <row r="11" spans="1:26" x14ac:dyDescent="0.2">
      <c r="A11" s="112" t="s">
        <v>176</v>
      </c>
      <c r="B11" s="113" t="s">
        <v>239</v>
      </c>
      <c r="C11" s="114">
        <v>56810</v>
      </c>
      <c r="D11" s="114" t="s">
        <v>179</v>
      </c>
      <c r="E11" s="114">
        <v>7958.6</v>
      </c>
      <c r="F11" s="115">
        <v>16.100000000000001</v>
      </c>
      <c r="G11" s="114">
        <v>7940.2</v>
      </c>
      <c r="H11" s="114">
        <v>48339.3</v>
      </c>
      <c r="I11" s="114">
        <v>25.4</v>
      </c>
      <c r="J11" s="114">
        <v>5930</v>
      </c>
      <c r="K11" s="114">
        <v>2028.6</v>
      </c>
      <c r="L11" s="116">
        <v>1903</v>
      </c>
      <c r="M11" s="116" t="s">
        <v>13</v>
      </c>
      <c r="N11" s="117">
        <v>0.86339999999999995</v>
      </c>
    </row>
    <row r="12" spans="1:26" x14ac:dyDescent="0.2">
      <c r="A12" s="112" t="s">
        <v>181</v>
      </c>
      <c r="B12" s="113" t="s">
        <v>239</v>
      </c>
      <c r="C12" s="114">
        <v>56587</v>
      </c>
      <c r="D12" s="114" t="s">
        <v>182</v>
      </c>
      <c r="E12" s="114">
        <v>46635.6</v>
      </c>
      <c r="F12" s="115">
        <v>16.399999999999999</v>
      </c>
      <c r="G12" s="114">
        <v>46572.7</v>
      </c>
      <c r="H12" s="114">
        <v>9399.6</v>
      </c>
      <c r="I12" s="114">
        <v>4.3</v>
      </c>
      <c r="J12" s="114">
        <v>5721</v>
      </c>
      <c r="K12" s="114">
        <v>40914.6</v>
      </c>
      <c r="L12" s="116">
        <v>2185</v>
      </c>
      <c r="M12" s="116" t="s">
        <v>13</v>
      </c>
      <c r="N12" s="117">
        <v>0.79959999999999998</v>
      </c>
    </row>
    <row r="13" spans="1:26" x14ac:dyDescent="0.2">
      <c r="A13" s="112" t="s">
        <v>180</v>
      </c>
      <c r="B13" s="113" t="s">
        <v>239</v>
      </c>
      <c r="C13" s="114">
        <v>56575</v>
      </c>
      <c r="D13" s="114" t="s">
        <v>186</v>
      </c>
      <c r="E13" s="114">
        <v>53959.9</v>
      </c>
      <c r="F13" s="115">
        <v>16.5</v>
      </c>
      <c r="G13" s="114">
        <v>53894.6</v>
      </c>
      <c r="H13" s="114">
        <v>2095</v>
      </c>
      <c r="I13" s="114">
        <v>8</v>
      </c>
      <c r="J13" s="114">
        <v>5687</v>
      </c>
      <c r="K13" s="114">
        <v>48272.9</v>
      </c>
      <c r="L13" s="116">
        <v>261</v>
      </c>
      <c r="M13" s="116" t="s">
        <v>13</v>
      </c>
      <c r="N13" s="117">
        <v>0.8478</v>
      </c>
    </row>
    <row r="14" spans="1:26" ht="13.5" thickBot="1" x14ac:dyDescent="0.25">
      <c r="A14" s="101" t="s">
        <v>239</v>
      </c>
      <c r="B14" s="102" t="s">
        <v>367</v>
      </c>
      <c r="C14" s="103">
        <v>549871</v>
      </c>
      <c r="D14" s="103" t="s">
        <v>13</v>
      </c>
      <c r="E14" s="103">
        <v>424425.39999999997</v>
      </c>
      <c r="F14" s="104" t="s">
        <v>13</v>
      </c>
      <c r="G14" s="103">
        <v>423312.5</v>
      </c>
      <c r="H14" s="103">
        <v>121473.60000000001</v>
      </c>
      <c r="I14" s="103">
        <v>-5466</v>
      </c>
      <c r="J14" s="103">
        <v>73298</v>
      </c>
      <c r="K14" s="103">
        <v>351127.4</v>
      </c>
      <c r="L14" s="105" t="s">
        <v>13</v>
      </c>
      <c r="M14" s="105" t="s">
        <v>13</v>
      </c>
      <c r="N14" s="106" t="s">
        <v>13</v>
      </c>
    </row>
    <row r="15" spans="1:26" x14ac:dyDescent="0.2">
      <c r="A15" s="112" t="s">
        <v>13</v>
      </c>
      <c r="B15" s="113" t="s">
        <v>13</v>
      </c>
      <c r="C15" s="114" t="s">
        <v>13</v>
      </c>
      <c r="D15" s="114" t="s">
        <v>13</v>
      </c>
      <c r="E15" s="114" t="s">
        <v>13</v>
      </c>
      <c r="F15" s="115" t="s">
        <v>13</v>
      </c>
      <c r="G15" s="114" t="s">
        <v>13</v>
      </c>
      <c r="H15" s="114" t="s">
        <v>13</v>
      </c>
      <c r="I15" s="114" t="s">
        <v>13</v>
      </c>
      <c r="J15" s="114" t="s">
        <v>13</v>
      </c>
      <c r="K15" s="114" t="s">
        <v>13</v>
      </c>
      <c r="L15" s="116" t="s">
        <v>13</v>
      </c>
      <c r="M15" s="116" t="s">
        <v>13</v>
      </c>
      <c r="N15" s="117" t="s">
        <v>13</v>
      </c>
    </row>
    <row r="16" spans="1:26" x14ac:dyDescent="0.2">
      <c r="A16" s="112" t="s">
        <v>21</v>
      </c>
      <c r="B16" s="113" t="s">
        <v>368</v>
      </c>
      <c r="C16" s="114">
        <v>410</v>
      </c>
      <c r="D16" s="114">
        <v>0</v>
      </c>
      <c r="E16" s="114">
        <v>122.2</v>
      </c>
      <c r="F16" s="115">
        <v>17.8</v>
      </c>
      <c r="G16" s="114">
        <v>129.69999999999999</v>
      </c>
      <c r="H16" s="114">
        <v>287.8</v>
      </c>
      <c r="I16" s="114">
        <v>-4.2</v>
      </c>
      <c r="J16" s="114">
        <v>60</v>
      </c>
      <c r="K16" s="114">
        <v>62.2</v>
      </c>
      <c r="L16" s="116" t="s">
        <v>13</v>
      </c>
      <c r="M16" s="116">
        <v>-14</v>
      </c>
      <c r="N16" s="117">
        <v>0.503</v>
      </c>
    </row>
    <row r="17" spans="1:26" ht="13.5" thickBot="1" x14ac:dyDescent="0.25">
      <c r="A17" s="101" t="s">
        <v>368</v>
      </c>
      <c r="B17" s="102" t="s">
        <v>367</v>
      </c>
      <c r="C17" s="103">
        <v>410</v>
      </c>
      <c r="D17" s="103" t="s">
        <v>13</v>
      </c>
      <c r="E17" s="103">
        <v>122.2</v>
      </c>
      <c r="F17" s="104" t="s">
        <v>13</v>
      </c>
      <c r="G17" s="103">
        <v>129.69999999999999</v>
      </c>
      <c r="H17" s="103">
        <v>287.8</v>
      </c>
      <c r="I17" s="103">
        <v>-4.2</v>
      </c>
      <c r="J17" s="103">
        <v>60</v>
      </c>
      <c r="K17" s="103">
        <v>62.2</v>
      </c>
      <c r="L17" s="105" t="s">
        <v>13</v>
      </c>
      <c r="M17" s="105" t="s">
        <v>13</v>
      </c>
      <c r="N17" s="106" t="s">
        <v>13</v>
      </c>
    </row>
    <row r="18" spans="1:26" x14ac:dyDescent="0.2">
      <c r="A18" s="112" t="s">
        <v>13</v>
      </c>
      <c r="B18" s="113" t="s">
        <v>13</v>
      </c>
      <c r="C18" s="114" t="s">
        <v>13</v>
      </c>
      <c r="D18" s="114" t="s">
        <v>13</v>
      </c>
      <c r="E18" s="114" t="s">
        <v>13</v>
      </c>
      <c r="F18" s="115" t="s">
        <v>13</v>
      </c>
      <c r="G18" s="114" t="s">
        <v>13</v>
      </c>
      <c r="H18" s="114" t="s">
        <v>13</v>
      </c>
      <c r="I18" s="114" t="s">
        <v>13</v>
      </c>
      <c r="J18" s="114" t="s">
        <v>13</v>
      </c>
      <c r="K18" s="114" t="s">
        <v>13</v>
      </c>
      <c r="L18" s="116" t="s">
        <v>13</v>
      </c>
      <c r="M18" s="116" t="s">
        <v>13</v>
      </c>
      <c r="N18" s="117" t="s">
        <v>13</v>
      </c>
    </row>
    <row r="19" spans="1:26" x14ac:dyDescent="0.2">
      <c r="A19" s="112" t="s">
        <v>22</v>
      </c>
      <c r="B19" s="113" t="s">
        <v>369</v>
      </c>
      <c r="C19" s="114">
        <v>440</v>
      </c>
      <c r="D19" s="114">
        <v>0</v>
      </c>
      <c r="E19" s="114">
        <v>29.4</v>
      </c>
      <c r="F19" s="115">
        <v>11.4</v>
      </c>
      <c r="G19" s="114">
        <v>33</v>
      </c>
      <c r="H19" s="114">
        <v>410.6</v>
      </c>
      <c r="I19" s="114">
        <v>-0.1</v>
      </c>
      <c r="J19" s="114">
        <v>80</v>
      </c>
      <c r="K19" s="114" t="s">
        <v>13</v>
      </c>
      <c r="L19" s="116" t="s">
        <v>13</v>
      </c>
      <c r="M19" s="116" t="s">
        <v>13</v>
      </c>
      <c r="N19" s="117">
        <v>0.57210000000000005</v>
      </c>
    </row>
    <row r="20" spans="1:26" ht="13.5" thickBot="1" x14ac:dyDescent="0.25">
      <c r="A20" s="101" t="s">
        <v>369</v>
      </c>
      <c r="B20" s="102" t="s">
        <v>367</v>
      </c>
      <c r="C20" s="103">
        <v>440</v>
      </c>
      <c r="D20" s="103" t="s">
        <v>13</v>
      </c>
      <c r="E20" s="103">
        <v>29.4</v>
      </c>
      <c r="F20" s="104" t="s">
        <v>13</v>
      </c>
      <c r="G20" s="103">
        <v>33</v>
      </c>
      <c r="H20" s="103">
        <v>410.6</v>
      </c>
      <c r="I20" s="103">
        <v>-0.1</v>
      </c>
      <c r="J20" s="103">
        <v>80</v>
      </c>
      <c r="K20" s="103">
        <v>0</v>
      </c>
      <c r="L20" s="105" t="s">
        <v>13</v>
      </c>
      <c r="M20" s="105" t="s">
        <v>13</v>
      </c>
      <c r="N20" s="106" t="s">
        <v>13</v>
      </c>
    </row>
    <row r="21" spans="1:26" x14ac:dyDescent="0.2">
      <c r="A21" s="112" t="s">
        <v>13</v>
      </c>
      <c r="B21" s="113" t="s">
        <v>13</v>
      </c>
      <c r="C21" s="114" t="s">
        <v>13</v>
      </c>
      <c r="D21" s="114" t="s">
        <v>13</v>
      </c>
      <c r="E21" s="114" t="s">
        <v>13</v>
      </c>
      <c r="F21" s="115" t="s">
        <v>13</v>
      </c>
      <c r="G21" s="114" t="s">
        <v>13</v>
      </c>
      <c r="H21" s="114" t="s">
        <v>13</v>
      </c>
      <c r="I21" s="114" t="s">
        <v>13</v>
      </c>
      <c r="J21" s="114" t="s">
        <v>13</v>
      </c>
      <c r="K21" s="114" t="s">
        <v>13</v>
      </c>
      <c r="L21" s="116" t="s">
        <v>13</v>
      </c>
      <c r="M21" s="116" t="s">
        <v>13</v>
      </c>
      <c r="N21" s="117" t="s">
        <v>13</v>
      </c>
    </row>
    <row r="22" spans="1:26" x14ac:dyDescent="0.2">
      <c r="A22" s="112" t="s">
        <v>23</v>
      </c>
      <c r="B22" s="113" t="s">
        <v>240</v>
      </c>
      <c r="C22" s="114">
        <v>2700</v>
      </c>
      <c r="D22" s="114">
        <v>0</v>
      </c>
      <c r="E22" s="114">
        <v>151.1</v>
      </c>
      <c r="F22" s="115">
        <v>18.100000000000001</v>
      </c>
      <c r="G22" s="114">
        <v>195</v>
      </c>
      <c r="H22" s="114">
        <v>2548.9</v>
      </c>
      <c r="I22" s="114">
        <v>119.2</v>
      </c>
      <c r="J22" s="114">
        <v>30</v>
      </c>
      <c r="K22" s="114">
        <v>121.1</v>
      </c>
      <c r="L22" s="116">
        <v>21</v>
      </c>
      <c r="M22" s="116" t="s">
        <v>13</v>
      </c>
      <c r="N22" s="117">
        <v>0.56000000000000005</v>
      </c>
    </row>
    <row r="23" spans="1:26" x14ac:dyDescent="0.2">
      <c r="A23" s="112" t="s">
        <v>187</v>
      </c>
      <c r="B23" s="113" t="s">
        <v>240</v>
      </c>
      <c r="C23" s="114">
        <v>3340</v>
      </c>
      <c r="D23" s="114">
        <v>0</v>
      </c>
      <c r="E23" s="114">
        <v>1454.4</v>
      </c>
      <c r="F23" s="115">
        <v>14.3</v>
      </c>
      <c r="G23" s="114">
        <v>1471</v>
      </c>
      <c r="H23" s="114">
        <v>1885.5</v>
      </c>
      <c r="I23" s="114">
        <v>-1043.2</v>
      </c>
      <c r="J23" s="114">
        <v>30</v>
      </c>
      <c r="K23" s="114">
        <v>1424.4</v>
      </c>
      <c r="L23" s="116" t="s">
        <v>13</v>
      </c>
      <c r="M23" s="116">
        <v>-1</v>
      </c>
      <c r="N23" s="117">
        <v>0.55920000000000003</v>
      </c>
    </row>
    <row r="24" spans="1:26" ht="13.5" thickBot="1" x14ac:dyDescent="0.25">
      <c r="A24" s="101" t="s">
        <v>240</v>
      </c>
      <c r="B24" s="102" t="s">
        <v>367</v>
      </c>
      <c r="C24" s="103">
        <v>6040</v>
      </c>
      <c r="D24" s="103" t="s">
        <v>13</v>
      </c>
      <c r="E24" s="103">
        <v>1605.5</v>
      </c>
      <c r="F24" s="104" t="s">
        <v>13</v>
      </c>
      <c r="G24" s="103">
        <v>1666</v>
      </c>
      <c r="H24" s="103">
        <v>4434.3999999999996</v>
      </c>
      <c r="I24" s="103">
        <v>-924</v>
      </c>
      <c r="J24" s="103">
        <v>60</v>
      </c>
      <c r="K24" s="103">
        <v>1545.5</v>
      </c>
      <c r="L24" s="105" t="s">
        <v>13</v>
      </c>
      <c r="M24" s="105" t="s">
        <v>13</v>
      </c>
      <c r="N24" s="106" t="s">
        <v>13</v>
      </c>
    </row>
    <row r="25" spans="1:26" x14ac:dyDescent="0.2">
      <c r="A25" s="112" t="s">
        <v>13</v>
      </c>
      <c r="B25" s="113" t="s">
        <v>13</v>
      </c>
      <c r="C25" s="114" t="s">
        <v>13</v>
      </c>
      <c r="D25" s="114" t="s">
        <v>13</v>
      </c>
      <c r="E25" s="114" t="s">
        <v>13</v>
      </c>
      <c r="F25" s="115" t="s">
        <v>13</v>
      </c>
      <c r="G25" s="114" t="s">
        <v>13</v>
      </c>
      <c r="H25" s="114" t="s">
        <v>13</v>
      </c>
      <c r="I25" s="114" t="s">
        <v>13</v>
      </c>
      <c r="J25" s="114" t="s">
        <v>13</v>
      </c>
      <c r="K25" s="114" t="s">
        <v>13</v>
      </c>
      <c r="L25" s="116" t="s">
        <v>13</v>
      </c>
      <c r="M25" s="116" t="s">
        <v>13</v>
      </c>
      <c r="N25" s="117" t="s">
        <v>13</v>
      </c>
      <c r="O25" s="2"/>
      <c r="P25" s="2"/>
      <c r="Q25" s="2"/>
      <c r="R25" s="2"/>
      <c r="S25" s="2"/>
      <c r="T25" s="2"/>
      <c r="U25" s="2"/>
      <c r="V25" s="3"/>
      <c r="W25" s="3"/>
      <c r="X25" s="2"/>
      <c r="Y25" s="2"/>
      <c r="Z25" s="3"/>
    </row>
    <row r="26" spans="1:26" x14ac:dyDescent="0.2">
      <c r="A26" s="112" t="s">
        <v>27</v>
      </c>
      <c r="B26" s="113" t="s">
        <v>370</v>
      </c>
      <c r="C26" s="114">
        <v>4470</v>
      </c>
      <c r="D26" s="114" t="s">
        <v>154</v>
      </c>
      <c r="E26" s="114">
        <v>3688</v>
      </c>
      <c r="F26" s="115">
        <v>12</v>
      </c>
      <c r="G26" s="114">
        <v>3701.6</v>
      </c>
      <c r="H26" s="114">
        <v>731.5</v>
      </c>
      <c r="I26" s="114">
        <v>-185</v>
      </c>
      <c r="J26" s="114">
        <v>300</v>
      </c>
      <c r="K26" s="114">
        <v>3388</v>
      </c>
      <c r="L26" s="116" t="s">
        <v>13</v>
      </c>
      <c r="M26" s="116">
        <v>-18</v>
      </c>
      <c r="N26" s="117">
        <v>0.70569999999999999</v>
      </c>
    </row>
    <row r="27" spans="1:26" x14ac:dyDescent="0.2">
      <c r="A27" s="112" t="s">
        <v>83</v>
      </c>
      <c r="B27" s="113" t="s">
        <v>370</v>
      </c>
      <c r="C27" s="114">
        <v>6914</v>
      </c>
      <c r="D27" s="114" t="s">
        <v>172</v>
      </c>
      <c r="E27" s="114">
        <v>2716.6</v>
      </c>
      <c r="F27" s="115">
        <v>1.7</v>
      </c>
      <c r="G27" s="114">
        <v>2763.8</v>
      </c>
      <c r="H27" s="114">
        <v>4133.3999999999996</v>
      </c>
      <c r="I27" s="114">
        <v>16.5</v>
      </c>
      <c r="J27" s="114">
        <v>650</v>
      </c>
      <c r="K27" s="114">
        <v>2066.6</v>
      </c>
      <c r="L27" s="116">
        <v>250</v>
      </c>
      <c r="M27" s="116" t="s">
        <v>13</v>
      </c>
      <c r="N27" s="117">
        <v>0.70699999999999996</v>
      </c>
    </row>
    <row r="28" spans="1:26" ht="13.5" thickBot="1" x14ac:dyDescent="0.25">
      <c r="A28" s="101" t="s">
        <v>370</v>
      </c>
      <c r="B28" s="102" t="s">
        <v>367</v>
      </c>
      <c r="C28" s="103">
        <v>11384</v>
      </c>
      <c r="D28" s="103" t="s">
        <v>13</v>
      </c>
      <c r="E28" s="103">
        <v>6404.6</v>
      </c>
      <c r="F28" s="104" t="s">
        <v>13</v>
      </c>
      <c r="G28" s="103">
        <v>6465.4</v>
      </c>
      <c r="H28" s="103">
        <v>4864.8999999999996</v>
      </c>
      <c r="I28" s="103">
        <v>-168.5</v>
      </c>
      <c r="J28" s="103">
        <v>950</v>
      </c>
      <c r="K28" s="103">
        <v>5454.6</v>
      </c>
      <c r="L28" s="105" t="s">
        <v>13</v>
      </c>
      <c r="M28" s="105" t="s">
        <v>13</v>
      </c>
      <c r="N28" s="106" t="s">
        <v>13</v>
      </c>
    </row>
    <row r="29" spans="1:26" x14ac:dyDescent="0.2">
      <c r="A29" s="112" t="s">
        <v>13</v>
      </c>
      <c r="B29" s="113" t="s">
        <v>13</v>
      </c>
      <c r="C29" s="114" t="s">
        <v>13</v>
      </c>
      <c r="D29" s="114" t="s">
        <v>13</v>
      </c>
      <c r="E29" s="114" t="s">
        <v>13</v>
      </c>
      <c r="F29" s="115" t="s">
        <v>13</v>
      </c>
      <c r="G29" s="114" t="s">
        <v>13</v>
      </c>
      <c r="H29" s="114" t="s">
        <v>13</v>
      </c>
      <c r="I29" s="114" t="s">
        <v>13</v>
      </c>
      <c r="J29" s="114" t="s">
        <v>13</v>
      </c>
      <c r="K29" s="114" t="s">
        <v>13</v>
      </c>
      <c r="L29" s="116" t="s">
        <v>13</v>
      </c>
      <c r="M29" s="116" t="s">
        <v>13</v>
      </c>
      <c r="N29" s="117" t="s">
        <v>13</v>
      </c>
    </row>
    <row r="30" spans="1:26" x14ac:dyDescent="0.2">
      <c r="A30" s="112" t="s">
        <v>28</v>
      </c>
      <c r="B30" s="113" t="s">
        <v>371</v>
      </c>
      <c r="C30" s="114">
        <v>1703</v>
      </c>
      <c r="D30" s="114" t="s">
        <v>30</v>
      </c>
      <c r="E30" s="114">
        <v>848.1</v>
      </c>
      <c r="F30" s="115">
        <v>11.8</v>
      </c>
      <c r="G30" s="114">
        <v>841.3</v>
      </c>
      <c r="H30" s="114">
        <v>824.4</v>
      </c>
      <c r="I30" s="114">
        <v>-4.5999999999999996</v>
      </c>
      <c r="J30" s="114">
        <v>300</v>
      </c>
      <c r="K30" s="114">
        <v>548.1</v>
      </c>
      <c r="L30" s="116" t="s">
        <v>13</v>
      </c>
      <c r="M30" s="116">
        <v>-119</v>
      </c>
      <c r="N30" s="117">
        <v>0.67330000000000001</v>
      </c>
    </row>
    <row r="31" spans="1:26" ht="13.5" thickBot="1" x14ac:dyDescent="0.25">
      <c r="A31" s="101" t="s">
        <v>371</v>
      </c>
      <c r="B31" s="102" t="s">
        <v>367</v>
      </c>
      <c r="C31" s="103">
        <v>1703</v>
      </c>
      <c r="D31" s="103" t="s">
        <v>13</v>
      </c>
      <c r="E31" s="103">
        <v>848.1</v>
      </c>
      <c r="F31" s="104" t="s">
        <v>13</v>
      </c>
      <c r="G31" s="103">
        <v>841.3</v>
      </c>
      <c r="H31" s="103">
        <v>824.4</v>
      </c>
      <c r="I31" s="103">
        <v>-4.5999999999999996</v>
      </c>
      <c r="J31" s="103">
        <v>300</v>
      </c>
      <c r="K31" s="103">
        <v>548.1</v>
      </c>
      <c r="L31" s="105" t="s">
        <v>13</v>
      </c>
      <c r="M31" s="105" t="s">
        <v>13</v>
      </c>
      <c r="N31" s="106" t="s">
        <v>13</v>
      </c>
    </row>
    <row r="32" spans="1:26" x14ac:dyDescent="0.2">
      <c r="A32" s="112" t="s">
        <v>13</v>
      </c>
      <c r="B32" s="113" t="s">
        <v>13</v>
      </c>
      <c r="C32" s="114" t="s">
        <v>13</v>
      </c>
      <c r="D32" s="114" t="s">
        <v>13</v>
      </c>
      <c r="E32" s="114" t="s">
        <v>13</v>
      </c>
      <c r="F32" s="115" t="s">
        <v>13</v>
      </c>
      <c r="G32" s="114" t="s">
        <v>13</v>
      </c>
      <c r="H32" s="114" t="s">
        <v>13</v>
      </c>
      <c r="I32" s="114" t="s">
        <v>13</v>
      </c>
      <c r="J32" s="114" t="s">
        <v>13</v>
      </c>
      <c r="K32" s="114" t="s">
        <v>13</v>
      </c>
      <c r="L32" s="116" t="s">
        <v>13</v>
      </c>
      <c r="M32" s="116" t="s">
        <v>13</v>
      </c>
      <c r="N32" s="117" t="s">
        <v>13</v>
      </c>
    </row>
    <row r="33" spans="1:14" x14ac:dyDescent="0.2">
      <c r="A33" s="112" t="s">
        <v>38</v>
      </c>
      <c r="B33" s="113" t="s">
        <v>372</v>
      </c>
      <c r="C33" s="114">
        <v>10791</v>
      </c>
      <c r="D33" s="114" t="s">
        <v>39</v>
      </c>
      <c r="E33" s="114">
        <v>8959.7999999999993</v>
      </c>
      <c r="F33" s="115">
        <v>14.5</v>
      </c>
      <c r="G33" s="114">
        <v>8965.2000000000007</v>
      </c>
      <c r="H33" s="114">
        <v>1756.8</v>
      </c>
      <c r="I33" s="114">
        <v>4</v>
      </c>
      <c r="J33" s="114">
        <v>710</v>
      </c>
      <c r="K33" s="114">
        <v>8249.7999999999993</v>
      </c>
      <c r="L33" s="116">
        <v>439</v>
      </c>
      <c r="M33" s="116" t="s">
        <v>13</v>
      </c>
      <c r="N33" s="117">
        <v>0.74609999999999999</v>
      </c>
    </row>
    <row r="34" spans="1:14" ht="13.5" thickBot="1" x14ac:dyDescent="0.25">
      <c r="A34" s="101" t="s">
        <v>372</v>
      </c>
      <c r="B34" s="102" t="s">
        <v>367</v>
      </c>
      <c r="C34" s="103">
        <v>10791</v>
      </c>
      <c r="D34" s="103" t="s">
        <v>13</v>
      </c>
      <c r="E34" s="103">
        <v>8959.7999999999993</v>
      </c>
      <c r="F34" s="104" t="s">
        <v>13</v>
      </c>
      <c r="G34" s="103">
        <v>8965.2000000000007</v>
      </c>
      <c r="H34" s="103">
        <v>1756.8</v>
      </c>
      <c r="I34" s="103">
        <v>4</v>
      </c>
      <c r="J34" s="103">
        <v>710</v>
      </c>
      <c r="K34" s="103">
        <v>8249.7999999999993</v>
      </c>
      <c r="L34" s="105" t="s">
        <v>13</v>
      </c>
      <c r="M34" s="105" t="s">
        <v>13</v>
      </c>
      <c r="N34" s="106" t="s">
        <v>13</v>
      </c>
    </row>
    <row r="35" spans="1:14" x14ac:dyDescent="0.2">
      <c r="A35" s="112" t="s">
        <v>13</v>
      </c>
      <c r="B35" s="113" t="s">
        <v>13</v>
      </c>
      <c r="C35" s="114" t="s">
        <v>13</v>
      </c>
      <c r="D35" s="114" t="s">
        <v>13</v>
      </c>
      <c r="E35" s="114" t="s">
        <v>13</v>
      </c>
      <c r="F35" s="115" t="s">
        <v>13</v>
      </c>
      <c r="G35" s="114" t="s">
        <v>13</v>
      </c>
      <c r="H35" s="114" t="s">
        <v>13</v>
      </c>
      <c r="I35" s="114" t="s">
        <v>13</v>
      </c>
      <c r="J35" s="114" t="s">
        <v>13</v>
      </c>
      <c r="K35" s="114" t="s">
        <v>13</v>
      </c>
      <c r="L35" s="116" t="s">
        <v>13</v>
      </c>
      <c r="M35" s="116" t="s">
        <v>13</v>
      </c>
      <c r="N35" s="117" t="s">
        <v>13</v>
      </c>
    </row>
    <row r="36" spans="1:14" x14ac:dyDescent="0.2">
      <c r="A36" s="112" t="s">
        <v>42</v>
      </c>
      <c r="B36" s="113" t="s">
        <v>373</v>
      </c>
      <c r="C36" s="114">
        <v>6178</v>
      </c>
      <c r="D36" s="114" t="s">
        <v>43</v>
      </c>
      <c r="E36" s="114">
        <v>691.7</v>
      </c>
      <c r="F36" s="115">
        <v>20.100000000000001</v>
      </c>
      <c r="G36" s="114">
        <v>687.4</v>
      </c>
      <c r="H36" s="114">
        <v>5435.3</v>
      </c>
      <c r="I36" s="114">
        <v>268.8</v>
      </c>
      <c r="J36" s="114">
        <v>450</v>
      </c>
      <c r="K36" s="114">
        <v>241.7</v>
      </c>
      <c r="L36" s="116">
        <v>20</v>
      </c>
      <c r="M36" s="116" t="s">
        <v>13</v>
      </c>
      <c r="N36" s="117">
        <v>0.73909999999999998</v>
      </c>
    </row>
    <row r="37" spans="1:14" x14ac:dyDescent="0.2">
      <c r="A37" s="112" t="s">
        <v>44</v>
      </c>
      <c r="B37" s="113" t="s">
        <v>373</v>
      </c>
      <c r="C37" s="114">
        <v>6190</v>
      </c>
      <c r="D37" s="114" t="s">
        <v>45</v>
      </c>
      <c r="E37" s="114">
        <v>2918.2</v>
      </c>
      <c r="F37" s="115">
        <v>11.7</v>
      </c>
      <c r="G37" s="114">
        <v>2879.3</v>
      </c>
      <c r="H37" s="114">
        <v>3220.3</v>
      </c>
      <c r="I37" s="114">
        <v>-364.3</v>
      </c>
      <c r="J37" s="114">
        <v>450</v>
      </c>
      <c r="K37" s="114">
        <v>2468.1999999999998</v>
      </c>
      <c r="L37" s="116" t="s">
        <v>13</v>
      </c>
      <c r="M37" s="116">
        <v>-6</v>
      </c>
      <c r="N37" s="117">
        <v>0.7397999999999999</v>
      </c>
    </row>
    <row r="38" spans="1:14" x14ac:dyDescent="0.2">
      <c r="A38" s="112" t="s">
        <v>32</v>
      </c>
      <c r="B38" s="113" t="s">
        <v>373</v>
      </c>
      <c r="C38" s="114">
        <v>18351</v>
      </c>
      <c r="D38" s="114" t="s">
        <v>185</v>
      </c>
      <c r="E38" s="114">
        <v>3619</v>
      </c>
      <c r="F38" s="115">
        <v>14.7</v>
      </c>
      <c r="G38" s="114">
        <v>3620.1</v>
      </c>
      <c r="H38" s="114">
        <v>14620.4</v>
      </c>
      <c r="I38" s="114">
        <v>1220.8</v>
      </c>
      <c r="J38" s="114">
        <v>1430</v>
      </c>
      <c r="K38" s="114">
        <v>2189</v>
      </c>
      <c r="L38" s="116">
        <v>11</v>
      </c>
      <c r="M38" s="116" t="s">
        <v>13</v>
      </c>
      <c r="N38" s="117">
        <v>0.747</v>
      </c>
    </row>
    <row r="39" spans="1:14" x14ac:dyDescent="0.2">
      <c r="A39" s="112" t="s">
        <v>35</v>
      </c>
      <c r="B39" s="113" t="s">
        <v>373</v>
      </c>
      <c r="C39" s="114">
        <v>23600</v>
      </c>
      <c r="D39" s="114" t="s">
        <v>36</v>
      </c>
      <c r="E39" s="114">
        <v>5516.6</v>
      </c>
      <c r="F39" s="115">
        <v>17.399999999999999</v>
      </c>
      <c r="G39" s="114">
        <v>5542.5</v>
      </c>
      <c r="H39" s="114">
        <v>17887.3</v>
      </c>
      <c r="I39" s="114">
        <v>-263.60000000000002</v>
      </c>
      <c r="J39" s="114">
        <v>1470</v>
      </c>
      <c r="K39" s="114">
        <v>4046.6</v>
      </c>
      <c r="L39" s="116" t="s">
        <v>13</v>
      </c>
      <c r="M39" s="116">
        <v>-15</v>
      </c>
      <c r="N39" s="117">
        <v>0.73450000000000004</v>
      </c>
    </row>
    <row r="40" spans="1:14" x14ac:dyDescent="0.2">
      <c r="A40" s="112" t="s">
        <v>37</v>
      </c>
      <c r="B40" s="113" t="s">
        <v>373</v>
      </c>
      <c r="C40" s="114">
        <v>1547</v>
      </c>
      <c r="D40" s="114" t="s">
        <v>153</v>
      </c>
      <c r="E40" s="114">
        <v>606</v>
      </c>
      <c r="F40" s="115">
        <v>12.3</v>
      </c>
      <c r="G40" s="114">
        <v>603.20000000000005</v>
      </c>
      <c r="H40" s="114">
        <v>913.5</v>
      </c>
      <c r="I40" s="114">
        <v>1</v>
      </c>
      <c r="J40" s="114">
        <v>90</v>
      </c>
      <c r="K40" s="114">
        <v>516</v>
      </c>
      <c r="L40" s="116">
        <v>913</v>
      </c>
      <c r="M40" s="116" t="s">
        <v>13</v>
      </c>
      <c r="N40" s="117">
        <v>0.7429</v>
      </c>
    </row>
    <row r="41" spans="1:14" x14ac:dyDescent="0.2">
      <c r="A41" s="112" t="s">
        <v>40</v>
      </c>
      <c r="B41" s="113" t="s">
        <v>373</v>
      </c>
      <c r="C41" s="114">
        <v>1841</v>
      </c>
      <c r="D41" s="114" t="s">
        <v>41</v>
      </c>
      <c r="E41" s="114">
        <v>336.2</v>
      </c>
      <c r="F41" s="115">
        <v>15.6</v>
      </c>
      <c r="G41" s="114">
        <v>334.3</v>
      </c>
      <c r="H41" s="114">
        <v>1473.4</v>
      </c>
      <c r="I41" s="114">
        <v>190.2</v>
      </c>
      <c r="J41" s="114">
        <v>100</v>
      </c>
      <c r="K41" s="114">
        <v>236.2</v>
      </c>
      <c r="L41" s="116">
        <v>7</v>
      </c>
      <c r="M41" s="116" t="s">
        <v>13</v>
      </c>
      <c r="N41" s="117">
        <v>0.74160000000000004</v>
      </c>
    </row>
    <row r="42" spans="1:14" ht="13.5" thickBot="1" x14ac:dyDescent="0.25">
      <c r="A42" s="101" t="s">
        <v>373</v>
      </c>
      <c r="B42" s="102" t="s">
        <v>367</v>
      </c>
      <c r="C42" s="103">
        <v>57707</v>
      </c>
      <c r="D42" s="103" t="s">
        <v>13</v>
      </c>
      <c r="E42" s="103">
        <v>13687.7</v>
      </c>
      <c r="F42" s="104" t="s">
        <v>13</v>
      </c>
      <c r="G42" s="103">
        <v>13666.8</v>
      </c>
      <c r="H42" s="103">
        <v>43550.200000000004</v>
      </c>
      <c r="I42" s="103">
        <v>1052.8999999999999</v>
      </c>
      <c r="J42" s="103">
        <v>3990</v>
      </c>
      <c r="K42" s="103">
        <v>9697.7000000000007</v>
      </c>
      <c r="L42" s="105" t="s">
        <v>13</v>
      </c>
      <c r="M42" s="105" t="s">
        <v>13</v>
      </c>
      <c r="N42" s="106" t="s">
        <v>13</v>
      </c>
    </row>
    <row r="43" spans="1:14" x14ac:dyDescent="0.2">
      <c r="A43" s="112" t="s">
        <v>13</v>
      </c>
      <c r="B43" s="113" t="s">
        <v>13</v>
      </c>
      <c r="C43" s="114" t="s">
        <v>13</v>
      </c>
      <c r="D43" s="114" t="s">
        <v>13</v>
      </c>
      <c r="E43" s="114" t="s">
        <v>13</v>
      </c>
      <c r="F43" s="115" t="s">
        <v>13</v>
      </c>
      <c r="G43" s="114" t="s">
        <v>13</v>
      </c>
      <c r="H43" s="114" t="s">
        <v>13</v>
      </c>
      <c r="I43" s="114" t="s">
        <v>13</v>
      </c>
      <c r="J43" s="114" t="s">
        <v>13</v>
      </c>
      <c r="K43" s="114" t="s">
        <v>13</v>
      </c>
      <c r="L43" s="116" t="s">
        <v>13</v>
      </c>
      <c r="M43" s="116" t="s">
        <v>13</v>
      </c>
      <c r="N43" s="117" t="s">
        <v>13</v>
      </c>
    </row>
    <row r="44" spans="1:14" x14ac:dyDescent="0.2">
      <c r="A44" s="112" t="s">
        <v>24</v>
      </c>
      <c r="B44" s="113" t="s">
        <v>374</v>
      </c>
      <c r="C44" s="114">
        <v>9784</v>
      </c>
      <c r="D44" s="114" t="s">
        <v>146</v>
      </c>
      <c r="E44" s="114">
        <v>4046.8</v>
      </c>
      <c r="F44" s="115">
        <v>18</v>
      </c>
      <c r="G44" s="114">
        <v>4034.1</v>
      </c>
      <c r="H44" s="114">
        <v>5668.8</v>
      </c>
      <c r="I44" s="114">
        <v>8.4</v>
      </c>
      <c r="J44" s="114">
        <v>550</v>
      </c>
      <c r="K44" s="114">
        <v>3496.8</v>
      </c>
      <c r="L44" s="116">
        <v>674</v>
      </c>
      <c r="M44" s="116" t="s">
        <v>13</v>
      </c>
      <c r="N44" s="117">
        <v>0.75870000000000004</v>
      </c>
    </row>
    <row r="45" spans="1:14" ht="13.5" thickBot="1" x14ac:dyDescent="0.25">
      <c r="A45" s="101" t="s">
        <v>374</v>
      </c>
      <c r="B45" s="102" t="s">
        <v>367</v>
      </c>
      <c r="C45" s="103">
        <v>9784</v>
      </c>
      <c r="D45" s="103" t="s">
        <v>13</v>
      </c>
      <c r="E45" s="103">
        <v>4046.8</v>
      </c>
      <c r="F45" s="104" t="s">
        <v>13</v>
      </c>
      <c r="G45" s="103">
        <v>4034.1</v>
      </c>
      <c r="H45" s="103">
        <v>5668.8</v>
      </c>
      <c r="I45" s="103">
        <v>8.4</v>
      </c>
      <c r="J45" s="103">
        <v>550</v>
      </c>
      <c r="K45" s="103">
        <v>3496.8</v>
      </c>
      <c r="L45" s="105" t="s">
        <v>13</v>
      </c>
      <c r="M45" s="105" t="s">
        <v>13</v>
      </c>
      <c r="N45" s="106" t="s">
        <v>13</v>
      </c>
    </row>
    <row r="46" spans="1:14" x14ac:dyDescent="0.2">
      <c r="A46" s="112" t="s">
        <v>13</v>
      </c>
      <c r="B46" s="113" t="s">
        <v>13</v>
      </c>
      <c r="C46" s="114" t="s">
        <v>13</v>
      </c>
      <c r="D46" s="114" t="s">
        <v>13</v>
      </c>
      <c r="E46" s="114" t="s">
        <v>13</v>
      </c>
      <c r="F46" s="115" t="s">
        <v>13</v>
      </c>
      <c r="G46" s="114" t="s">
        <v>13</v>
      </c>
      <c r="H46" s="114" t="s">
        <v>13</v>
      </c>
      <c r="I46" s="114" t="s">
        <v>13</v>
      </c>
      <c r="J46" s="114" t="s">
        <v>13</v>
      </c>
      <c r="K46" s="114" t="s">
        <v>13</v>
      </c>
      <c r="L46" s="116" t="s">
        <v>13</v>
      </c>
      <c r="M46" s="116" t="s">
        <v>13</v>
      </c>
      <c r="N46" s="117" t="s">
        <v>13</v>
      </c>
    </row>
    <row r="47" spans="1:14" x14ac:dyDescent="0.2">
      <c r="A47" s="112" t="s">
        <v>25</v>
      </c>
      <c r="B47" s="113" t="s">
        <v>375</v>
      </c>
      <c r="C47" s="114">
        <v>2545</v>
      </c>
      <c r="D47" s="114" t="s">
        <v>26</v>
      </c>
      <c r="E47" s="114">
        <v>595.9</v>
      </c>
      <c r="F47" s="115">
        <v>12.7</v>
      </c>
      <c r="G47" s="114">
        <v>597.6</v>
      </c>
      <c r="H47" s="114">
        <v>1915.4</v>
      </c>
      <c r="I47" s="114">
        <v>-619.6</v>
      </c>
      <c r="J47" s="114">
        <v>200</v>
      </c>
      <c r="K47" s="114">
        <v>395.9</v>
      </c>
      <c r="L47" s="116" t="s">
        <v>13</v>
      </c>
      <c r="M47" s="116">
        <v>0</v>
      </c>
      <c r="N47" s="117">
        <v>0.73870000000000002</v>
      </c>
    </row>
    <row r="48" spans="1:14" x14ac:dyDescent="0.2">
      <c r="A48" s="112" t="s">
        <v>47</v>
      </c>
      <c r="B48" s="113" t="s">
        <v>375</v>
      </c>
      <c r="C48" s="114">
        <v>1189</v>
      </c>
      <c r="D48" s="114" t="s">
        <v>48</v>
      </c>
      <c r="E48" s="114">
        <v>724</v>
      </c>
      <c r="F48" s="115">
        <v>13.1</v>
      </c>
      <c r="G48" s="114">
        <v>725.7</v>
      </c>
      <c r="H48" s="114">
        <v>443.7</v>
      </c>
      <c r="I48" s="114">
        <v>64.400000000000006</v>
      </c>
      <c r="J48" s="114">
        <v>90</v>
      </c>
      <c r="K48" s="114">
        <v>634</v>
      </c>
      <c r="L48" s="116">
        <v>6</v>
      </c>
      <c r="M48" s="116" t="s">
        <v>13</v>
      </c>
      <c r="N48" s="117">
        <v>0.74</v>
      </c>
    </row>
    <row r="49" spans="1:14" x14ac:dyDescent="0.2">
      <c r="A49" s="112" t="s">
        <v>63</v>
      </c>
      <c r="B49" s="113" t="s">
        <v>375</v>
      </c>
      <c r="C49" s="114">
        <v>1472</v>
      </c>
      <c r="D49" s="114" t="s">
        <v>64</v>
      </c>
      <c r="E49" s="114">
        <v>966.7</v>
      </c>
      <c r="F49" s="115">
        <v>7.3</v>
      </c>
      <c r="G49" s="114">
        <v>946</v>
      </c>
      <c r="H49" s="114">
        <v>478.1</v>
      </c>
      <c r="I49" s="114">
        <v>0.6</v>
      </c>
      <c r="J49" s="114">
        <v>150</v>
      </c>
      <c r="K49" s="114">
        <v>816.7</v>
      </c>
      <c r="L49" s="116">
        <v>796</v>
      </c>
      <c r="M49" s="116" t="s">
        <v>13</v>
      </c>
      <c r="N49" s="117">
        <v>0.72729999999999995</v>
      </c>
    </row>
    <row r="50" spans="1:14" ht="13.5" thickBot="1" x14ac:dyDescent="0.25">
      <c r="A50" s="101" t="s">
        <v>375</v>
      </c>
      <c r="B50" s="102" t="s">
        <v>367</v>
      </c>
      <c r="C50" s="103">
        <v>5206</v>
      </c>
      <c r="D50" s="103" t="s">
        <v>13</v>
      </c>
      <c r="E50" s="103">
        <v>2286.6000000000004</v>
      </c>
      <c r="F50" s="104" t="s">
        <v>13</v>
      </c>
      <c r="G50" s="103">
        <v>2269.3000000000002</v>
      </c>
      <c r="H50" s="103">
        <v>2837.2</v>
      </c>
      <c r="I50" s="103">
        <v>-554.6</v>
      </c>
      <c r="J50" s="103">
        <v>440</v>
      </c>
      <c r="K50" s="103">
        <v>1846.6000000000001</v>
      </c>
      <c r="L50" s="105" t="s">
        <v>13</v>
      </c>
      <c r="M50" s="105" t="s">
        <v>13</v>
      </c>
      <c r="N50" s="106" t="s">
        <v>13</v>
      </c>
    </row>
    <row r="51" spans="1:14" x14ac:dyDescent="0.2">
      <c r="A51" s="112" t="s">
        <v>13</v>
      </c>
      <c r="B51" s="113" t="s">
        <v>13</v>
      </c>
      <c r="C51" s="114" t="s">
        <v>13</v>
      </c>
      <c r="D51" s="114" t="s">
        <v>13</v>
      </c>
      <c r="E51" s="114" t="s">
        <v>13</v>
      </c>
      <c r="F51" s="115" t="s">
        <v>13</v>
      </c>
      <c r="G51" s="114" t="s">
        <v>13</v>
      </c>
      <c r="H51" s="114" t="s">
        <v>13</v>
      </c>
      <c r="I51" s="114" t="s">
        <v>13</v>
      </c>
      <c r="J51" s="114" t="s">
        <v>13</v>
      </c>
      <c r="K51" s="114" t="s">
        <v>13</v>
      </c>
      <c r="L51" s="116" t="s">
        <v>13</v>
      </c>
      <c r="M51" s="116" t="s">
        <v>13</v>
      </c>
      <c r="N51" s="117" t="s">
        <v>13</v>
      </c>
    </row>
    <row r="52" spans="1:14" x14ac:dyDescent="0.2">
      <c r="A52" s="112" t="s">
        <v>46</v>
      </c>
      <c r="B52" s="113" t="s">
        <v>376</v>
      </c>
      <c r="C52" s="114">
        <v>2667</v>
      </c>
      <c r="D52" s="114" t="s">
        <v>152</v>
      </c>
      <c r="E52" s="114">
        <v>2390.9</v>
      </c>
      <c r="F52" s="115">
        <v>10.9</v>
      </c>
      <c r="G52" s="114">
        <v>2398.5</v>
      </c>
      <c r="H52" s="114">
        <v>245.9</v>
      </c>
      <c r="I52" s="114">
        <v>167.8</v>
      </c>
      <c r="J52" s="114">
        <v>130</v>
      </c>
      <c r="K52" s="114">
        <v>2260.9</v>
      </c>
      <c r="L52" s="116">
        <v>1</v>
      </c>
      <c r="M52" s="116" t="s">
        <v>13</v>
      </c>
      <c r="N52" s="117">
        <v>0.8822000000000001</v>
      </c>
    </row>
    <row r="53" spans="1:14" ht="13.5" thickBot="1" x14ac:dyDescent="0.25">
      <c r="A53" s="101" t="s">
        <v>376</v>
      </c>
      <c r="B53" s="102" t="s">
        <v>367</v>
      </c>
      <c r="C53" s="103">
        <v>2667</v>
      </c>
      <c r="D53" s="103" t="s">
        <v>13</v>
      </c>
      <c r="E53" s="103">
        <v>2390.9</v>
      </c>
      <c r="F53" s="104" t="s">
        <v>13</v>
      </c>
      <c r="G53" s="103">
        <v>2398.5</v>
      </c>
      <c r="H53" s="103">
        <v>245.9</v>
      </c>
      <c r="I53" s="103">
        <v>167.8</v>
      </c>
      <c r="J53" s="103">
        <v>130</v>
      </c>
      <c r="K53" s="103">
        <v>2260.9</v>
      </c>
      <c r="L53" s="105" t="s">
        <v>13</v>
      </c>
      <c r="M53" s="105" t="s">
        <v>13</v>
      </c>
      <c r="N53" s="106" t="s">
        <v>13</v>
      </c>
    </row>
    <row r="54" spans="1:14" x14ac:dyDescent="0.2">
      <c r="A54" s="112" t="s">
        <v>13</v>
      </c>
      <c r="B54" s="113" t="s">
        <v>13</v>
      </c>
      <c r="C54" s="114" t="s">
        <v>13</v>
      </c>
      <c r="D54" s="114" t="s">
        <v>13</v>
      </c>
      <c r="E54" s="114" t="s">
        <v>13</v>
      </c>
      <c r="F54" s="115" t="s">
        <v>13</v>
      </c>
      <c r="G54" s="114" t="s">
        <v>13</v>
      </c>
      <c r="H54" s="114" t="s">
        <v>13</v>
      </c>
      <c r="I54" s="114" t="s">
        <v>13</v>
      </c>
      <c r="J54" s="114" t="s">
        <v>13</v>
      </c>
      <c r="K54" s="114" t="s">
        <v>13</v>
      </c>
      <c r="L54" s="116" t="s">
        <v>13</v>
      </c>
      <c r="M54" s="116" t="s">
        <v>13</v>
      </c>
      <c r="N54" s="117" t="s">
        <v>13</v>
      </c>
    </row>
    <row r="55" spans="1:14" x14ac:dyDescent="0.2">
      <c r="A55" s="112" t="s">
        <v>51</v>
      </c>
      <c r="B55" s="113" t="s">
        <v>377</v>
      </c>
      <c r="C55" s="114">
        <v>4099</v>
      </c>
      <c r="D55" s="114" t="s">
        <v>52</v>
      </c>
      <c r="E55" s="114">
        <v>275.39999999999998</v>
      </c>
      <c r="F55" s="115">
        <v>11.7</v>
      </c>
      <c r="G55" s="114">
        <v>276.3</v>
      </c>
      <c r="H55" s="114">
        <v>3774.9</v>
      </c>
      <c r="I55" s="114">
        <v>3.3</v>
      </c>
      <c r="J55" s="114">
        <v>280</v>
      </c>
      <c r="K55" s="114" t="s">
        <v>13</v>
      </c>
      <c r="L55" s="116">
        <v>1143</v>
      </c>
      <c r="M55" s="116" t="s">
        <v>13</v>
      </c>
      <c r="N55" s="117">
        <v>0.7863</v>
      </c>
    </row>
    <row r="56" spans="1:14" x14ac:dyDescent="0.2">
      <c r="A56" s="112" t="s">
        <v>53</v>
      </c>
      <c r="B56" s="113" t="s">
        <v>377</v>
      </c>
      <c r="C56" s="114">
        <v>4099</v>
      </c>
      <c r="D56" s="114" t="s">
        <v>54</v>
      </c>
      <c r="E56" s="114">
        <v>265.39999999999998</v>
      </c>
      <c r="F56" s="115">
        <v>11.8</v>
      </c>
      <c r="G56" s="114">
        <v>266.3</v>
      </c>
      <c r="H56" s="114">
        <v>3798</v>
      </c>
      <c r="I56" s="114">
        <v>0.4</v>
      </c>
      <c r="J56" s="114">
        <v>280</v>
      </c>
      <c r="K56" s="114" t="s">
        <v>13</v>
      </c>
      <c r="L56" s="116">
        <v>9495</v>
      </c>
      <c r="M56" s="116" t="s">
        <v>13</v>
      </c>
      <c r="N56" s="117">
        <v>0.78520000000000001</v>
      </c>
    </row>
    <row r="57" spans="1:14" x14ac:dyDescent="0.2">
      <c r="A57" s="112" t="s">
        <v>57</v>
      </c>
      <c r="B57" s="113" t="s">
        <v>377</v>
      </c>
      <c r="C57" s="114">
        <v>6730</v>
      </c>
      <c r="D57" s="114" t="s">
        <v>58</v>
      </c>
      <c r="E57" s="114">
        <v>636</v>
      </c>
      <c r="F57" s="115">
        <v>17.5</v>
      </c>
      <c r="G57" s="114">
        <v>634.5</v>
      </c>
      <c r="H57" s="114">
        <v>8013.9</v>
      </c>
      <c r="I57" s="114">
        <v>1.1000000000000001</v>
      </c>
      <c r="J57" s="114">
        <v>320</v>
      </c>
      <c r="K57" s="114">
        <v>316</v>
      </c>
      <c r="L57" s="116">
        <v>7285</v>
      </c>
      <c r="M57" s="116" t="s">
        <v>13</v>
      </c>
      <c r="N57" s="117">
        <v>0.79059999999999997</v>
      </c>
    </row>
    <row r="58" spans="1:14" x14ac:dyDescent="0.2">
      <c r="A58" s="112" t="s">
        <v>59</v>
      </c>
      <c r="B58" s="113" t="s">
        <v>377</v>
      </c>
      <c r="C58" s="114">
        <v>6744</v>
      </c>
      <c r="D58" s="114" t="s">
        <v>60</v>
      </c>
      <c r="E58" s="114">
        <v>826.5</v>
      </c>
      <c r="F58" s="115">
        <v>15.1</v>
      </c>
      <c r="G58" s="114">
        <v>814.7</v>
      </c>
      <c r="H58" s="114">
        <v>5868</v>
      </c>
      <c r="I58" s="114">
        <v>261.3</v>
      </c>
      <c r="J58" s="114">
        <v>320</v>
      </c>
      <c r="K58" s="114">
        <v>506.5</v>
      </c>
      <c r="L58" s="116">
        <v>22</v>
      </c>
      <c r="M58" s="116" t="s">
        <v>13</v>
      </c>
      <c r="N58" s="117">
        <v>0.78770000000000007</v>
      </c>
    </row>
    <row r="59" spans="1:14" x14ac:dyDescent="0.2">
      <c r="A59" s="112" t="s">
        <v>61</v>
      </c>
      <c r="B59" s="113" t="s">
        <v>377</v>
      </c>
      <c r="C59" s="114">
        <v>8654</v>
      </c>
      <c r="D59" s="114" t="s">
        <v>62</v>
      </c>
      <c r="E59" s="114">
        <v>4949.8999999999996</v>
      </c>
      <c r="F59" s="115">
        <v>15.4</v>
      </c>
      <c r="G59" s="114">
        <v>4960.3</v>
      </c>
      <c r="H59" s="114">
        <v>3645.6</v>
      </c>
      <c r="I59" s="114">
        <v>-914</v>
      </c>
      <c r="J59" s="114">
        <v>500</v>
      </c>
      <c r="K59" s="114">
        <v>4449.8999999999996</v>
      </c>
      <c r="L59" s="116" t="s">
        <v>13</v>
      </c>
      <c r="M59" s="116">
        <v>-4</v>
      </c>
      <c r="N59" s="117">
        <v>0.79359999999999997</v>
      </c>
    </row>
    <row r="60" spans="1:14" ht="13.5" thickBot="1" x14ac:dyDescent="0.25">
      <c r="A60" s="101" t="s">
        <v>377</v>
      </c>
      <c r="B60" s="102" t="s">
        <v>367</v>
      </c>
      <c r="C60" s="103">
        <v>30326</v>
      </c>
      <c r="D60" s="103" t="s">
        <v>13</v>
      </c>
      <c r="E60" s="103">
        <v>6953.2</v>
      </c>
      <c r="F60" s="104" t="s">
        <v>13</v>
      </c>
      <c r="G60" s="103">
        <v>6952.1</v>
      </c>
      <c r="H60" s="103">
        <v>25100.399999999998</v>
      </c>
      <c r="I60" s="103">
        <v>-647.9</v>
      </c>
      <c r="J60" s="103">
        <v>1700</v>
      </c>
      <c r="K60" s="103">
        <v>5272.4</v>
      </c>
      <c r="L60" s="105" t="s">
        <v>13</v>
      </c>
      <c r="M60" s="105" t="s">
        <v>13</v>
      </c>
      <c r="N60" s="106" t="s">
        <v>13</v>
      </c>
    </row>
    <row r="61" spans="1:14" x14ac:dyDescent="0.2">
      <c r="A61" s="112" t="s">
        <v>13</v>
      </c>
      <c r="B61" s="113" t="s">
        <v>13</v>
      </c>
      <c r="C61" s="114" t="s">
        <v>13</v>
      </c>
      <c r="D61" s="114" t="s">
        <v>13</v>
      </c>
      <c r="E61" s="114" t="s">
        <v>13</v>
      </c>
      <c r="F61" s="115" t="s">
        <v>13</v>
      </c>
      <c r="G61" s="114" t="s">
        <v>13</v>
      </c>
      <c r="H61" s="114" t="s">
        <v>13</v>
      </c>
      <c r="I61" s="114" t="s">
        <v>13</v>
      </c>
      <c r="J61" s="114" t="s">
        <v>13</v>
      </c>
      <c r="K61" s="114" t="s">
        <v>13</v>
      </c>
      <c r="L61" s="116" t="s">
        <v>13</v>
      </c>
      <c r="M61" s="116" t="s">
        <v>13</v>
      </c>
      <c r="N61" s="117" t="s">
        <v>13</v>
      </c>
    </row>
    <row r="62" spans="1:14" x14ac:dyDescent="0.2">
      <c r="A62" s="112" t="s">
        <v>67</v>
      </c>
      <c r="B62" s="113" t="s">
        <v>378</v>
      </c>
      <c r="C62" s="114">
        <v>8832</v>
      </c>
      <c r="D62" s="114" t="s">
        <v>68</v>
      </c>
      <c r="E62" s="114">
        <v>8135.8</v>
      </c>
      <c r="F62" s="115">
        <v>13.9</v>
      </c>
      <c r="G62" s="114">
        <v>8155.3</v>
      </c>
      <c r="H62" s="114">
        <v>696.1</v>
      </c>
      <c r="I62" s="114">
        <v>1765.7</v>
      </c>
      <c r="J62" s="114">
        <v>440</v>
      </c>
      <c r="K62" s="114">
        <v>7695.8</v>
      </c>
      <c r="L62" s="116">
        <v>0</v>
      </c>
      <c r="M62" s="116" t="s">
        <v>13</v>
      </c>
      <c r="N62" s="117">
        <v>0.83450000000000002</v>
      </c>
    </row>
    <row r="63" spans="1:14" x14ac:dyDescent="0.2">
      <c r="A63" s="112" t="s">
        <v>113</v>
      </c>
      <c r="B63" s="113" t="s">
        <v>378</v>
      </c>
      <c r="C63" s="114">
        <v>6533</v>
      </c>
      <c r="D63" s="114" t="s">
        <v>142</v>
      </c>
      <c r="E63" s="114">
        <v>4973.3</v>
      </c>
      <c r="F63" s="115">
        <v>23.3</v>
      </c>
      <c r="G63" s="114">
        <v>4938.5</v>
      </c>
      <c r="H63" s="114">
        <v>1560.5</v>
      </c>
      <c r="I63" s="114">
        <v>-228.9</v>
      </c>
      <c r="J63" s="114">
        <v>310</v>
      </c>
      <c r="K63" s="114">
        <v>4663.3</v>
      </c>
      <c r="L63" s="116" t="s">
        <v>13</v>
      </c>
      <c r="M63" s="116">
        <v>-20</v>
      </c>
      <c r="N63" s="117">
        <v>0.84299999999999997</v>
      </c>
    </row>
    <row r="64" spans="1:14" x14ac:dyDescent="0.2">
      <c r="A64" s="112" t="s">
        <v>69</v>
      </c>
      <c r="B64" s="113" t="s">
        <v>378</v>
      </c>
      <c r="C64" s="114">
        <v>6541</v>
      </c>
      <c r="D64" s="114" t="s">
        <v>70</v>
      </c>
      <c r="E64" s="114">
        <v>6538.4</v>
      </c>
      <c r="F64" s="115">
        <v>17.5</v>
      </c>
      <c r="G64" s="114">
        <v>6537.3</v>
      </c>
      <c r="H64" s="114">
        <v>2.9</v>
      </c>
      <c r="I64" s="114">
        <v>-0.5</v>
      </c>
      <c r="J64" s="114">
        <v>320</v>
      </c>
      <c r="K64" s="114">
        <v>6218.4</v>
      </c>
      <c r="L64" s="116" t="s">
        <v>13</v>
      </c>
      <c r="M64" s="116">
        <v>-12436</v>
      </c>
      <c r="N64" s="117">
        <v>0.83640000000000003</v>
      </c>
    </row>
    <row r="65" spans="1:14" ht="13.5" thickBot="1" x14ac:dyDescent="0.25">
      <c r="A65" s="101" t="s">
        <v>378</v>
      </c>
      <c r="B65" s="102" t="s">
        <v>367</v>
      </c>
      <c r="C65" s="103">
        <v>21906</v>
      </c>
      <c r="D65" s="103" t="s">
        <v>13</v>
      </c>
      <c r="E65" s="103">
        <v>19647.5</v>
      </c>
      <c r="F65" s="104" t="s">
        <v>13</v>
      </c>
      <c r="G65" s="103">
        <v>19631.099999999999</v>
      </c>
      <c r="H65" s="103">
        <v>2259.5</v>
      </c>
      <c r="I65" s="103">
        <v>1536.3</v>
      </c>
      <c r="J65" s="103">
        <v>1070</v>
      </c>
      <c r="K65" s="103">
        <v>18577.5</v>
      </c>
      <c r="L65" s="105" t="s">
        <v>13</v>
      </c>
      <c r="M65" s="105" t="s">
        <v>13</v>
      </c>
      <c r="N65" s="106" t="s">
        <v>13</v>
      </c>
    </row>
    <row r="66" spans="1:14" x14ac:dyDescent="0.2">
      <c r="A66" s="112" t="s">
        <v>13</v>
      </c>
      <c r="B66" s="113" t="s">
        <v>13</v>
      </c>
      <c r="C66" s="114" t="s">
        <v>13</v>
      </c>
      <c r="D66" s="114" t="s">
        <v>13</v>
      </c>
      <c r="E66" s="114" t="s">
        <v>13</v>
      </c>
      <c r="F66" s="115" t="s">
        <v>13</v>
      </c>
      <c r="G66" s="114" t="s">
        <v>13</v>
      </c>
      <c r="H66" s="114" t="s">
        <v>13</v>
      </c>
      <c r="I66" s="114" t="s">
        <v>13</v>
      </c>
      <c r="J66" s="114" t="s">
        <v>13</v>
      </c>
      <c r="K66" s="114" t="s">
        <v>13</v>
      </c>
      <c r="L66" s="116" t="s">
        <v>13</v>
      </c>
      <c r="M66" s="116" t="s">
        <v>13</v>
      </c>
      <c r="N66" s="117" t="s">
        <v>13</v>
      </c>
    </row>
    <row r="67" spans="1:14" x14ac:dyDescent="0.2">
      <c r="A67" s="112" t="s">
        <v>80</v>
      </c>
      <c r="B67" s="113" t="s">
        <v>379</v>
      </c>
      <c r="C67" s="114">
        <v>1558</v>
      </c>
      <c r="D67" s="114" t="s">
        <v>81</v>
      </c>
      <c r="E67" s="114">
        <v>86.6</v>
      </c>
      <c r="F67" s="115">
        <v>11.3</v>
      </c>
      <c r="G67" s="114">
        <v>86.9</v>
      </c>
      <c r="H67" s="114">
        <v>1471.4</v>
      </c>
      <c r="I67" s="114">
        <v>0.8</v>
      </c>
      <c r="J67" s="114">
        <v>70</v>
      </c>
      <c r="K67" s="114">
        <v>16.600000000000001</v>
      </c>
      <c r="L67" s="116">
        <v>1839</v>
      </c>
      <c r="M67" s="116" t="s">
        <v>13</v>
      </c>
      <c r="N67" s="117">
        <v>0.82769999999999999</v>
      </c>
    </row>
    <row r="68" spans="1:14" x14ac:dyDescent="0.2">
      <c r="A68" s="112" t="s">
        <v>72</v>
      </c>
      <c r="B68" s="113" t="s">
        <v>379</v>
      </c>
      <c r="C68" s="114">
        <v>8202</v>
      </c>
      <c r="D68" s="114" t="s">
        <v>73</v>
      </c>
      <c r="E68" s="114">
        <v>2225.6999999999998</v>
      </c>
      <c r="F68" s="115">
        <v>12.8</v>
      </c>
      <c r="G68" s="114">
        <v>2190.5</v>
      </c>
      <c r="H68" s="114">
        <v>5976.2</v>
      </c>
      <c r="I68" s="114">
        <v>-71.400000000000006</v>
      </c>
      <c r="J68" s="114">
        <v>530</v>
      </c>
      <c r="K68" s="114">
        <v>1695.7</v>
      </c>
      <c r="L68" s="116" t="s">
        <v>13</v>
      </c>
      <c r="M68" s="116">
        <v>-23</v>
      </c>
      <c r="N68" s="117">
        <v>0.8276</v>
      </c>
    </row>
    <row r="69" spans="1:14" ht="13.5" thickBot="1" x14ac:dyDescent="0.25">
      <c r="A69" s="101" t="s">
        <v>379</v>
      </c>
      <c r="B69" s="102" t="s">
        <v>367</v>
      </c>
      <c r="C69" s="103">
        <v>9760</v>
      </c>
      <c r="D69" s="103" t="s">
        <v>13</v>
      </c>
      <c r="E69" s="103">
        <v>2312.2999999999997</v>
      </c>
      <c r="F69" s="104" t="s">
        <v>13</v>
      </c>
      <c r="G69" s="103">
        <v>2277.4</v>
      </c>
      <c r="H69" s="103">
        <v>7447.6</v>
      </c>
      <c r="I69" s="103">
        <v>-70.600000000000009</v>
      </c>
      <c r="J69" s="103">
        <v>600</v>
      </c>
      <c r="K69" s="103">
        <v>1712.3</v>
      </c>
      <c r="L69" s="105" t="s">
        <v>13</v>
      </c>
      <c r="M69" s="105" t="s">
        <v>13</v>
      </c>
      <c r="N69" s="106" t="s">
        <v>13</v>
      </c>
    </row>
    <row r="70" spans="1:14" x14ac:dyDescent="0.2">
      <c r="A70" s="112" t="s">
        <v>13</v>
      </c>
      <c r="B70" s="113" t="s">
        <v>13</v>
      </c>
      <c r="C70" s="114" t="s">
        <v>13</v>
      </c>
      <c r="D70" s="114" t="s">
        <v>13</v>
      </c>
      <c r="E70" s="114" t="s">
        <v>13</v>
      </c>
      <c r="F70" s="115" t="s">
        <v>13</v>
      </c>
      <c r="G70" s="114" t="s">
        <v>13</v>
      </c>
      <c r="H70" s="114" t="s">
        <v>13</v>
      </c>
      <c r="I70" s="114" t="s">
        <v>13</v>
      </c>
      <c r="J70" s="114" t="s">
        <v>13</v>
      </c>
      <c r="K70" s="114" t="s">
        <v>13</v>
      </c>
      <c r="L70" s="116" t="s">
        <v>13</v>
      </c>
      <c r="M70" s="116" t="s">
        <v>13</v>
      </c>
      <c r="N70" s="117" t="s">
        <v>13</v>
      </c>
    </row>
    <row r="71" spans="1:14" x14ac:dyDescent="0.2">
      <c r="A71" s="112" t="s">
        <v>71</v>
      </c>
      <c r="B71" s="113" t="s">
        <v>380</v>
      </c>
      <c r="C71" s="114">
        <v>10499</v>
      </c>
      <c r="D71" s="114" t="s">
        <v>184</v>
      </c>
      <c r="E71" s="114">
        <v>2709.2</v>
      </c>
      <c r="F71" s="115">
        <v>17.7</v>
      </c>
      <c r="G71" s="114">
        <v>2702.8</v>
      </c>
      <c r="H71" s="114">
        <v>7789.6</v>
      </c>
      <c r="I71" s="114">
        <v>-0.1</v>
      </c>
      <c r="J71" s="114">
        <v>530</v>
      </c>
      <c r="K71" s="114">
        <v>2179.1999999999998</v>
      </c>
      <c r="L71" s="116" t="s">
        <v>13</v>
      </c>
      <c r="M71" s="116">
        <v>-21792</v>
      </c>
      <c r="N71" s="117">
        <v>0.82729999999999992</v>
      </c>
    </row>
    <row r="72" spans="1:14" x14ac:dyDescent="0.2">
      <c r="A72" s="112" t="s">
        <v>74</v>
      </c>
      <c r="B72" s="113" t="s">
        <v>380</v>
      </c>
      <c r="C72" s="114">
        <v>18674</v>
      </c>
      <c r="D72" s="114" t="s">
        <v>75</v>
      </c>
      <c r="E72" s="114">
        <v>9706.7999999999993</v>
      </c>
      <c r="F72" s="115">
        <v>20.100000000000001</v>
      </c>
      <c r="G72" s="114">
        <v>9669.5</v>
      </c>
      <c r="H72" s="114">
        <v>8968</v>
      </c>
      <c r="I72" s="114">
        <v>-2281.5</v>
      </c>
      <c r="J72" s="114">
        <v>1100</v>
      </c>
      <c r="K72" s="114">
        <v>8606.7999999999993</v>
      </c>
      <c r="L72" s="116" t="s">
        <v>13</v>
      </c>
      <c r="M72" s="116">
        <v>-3</v>
      </c>
      <c r="N72" s="117">
        <v>0.82629999999999992</v>
      </c>
    </row>
    <row r="73" spans="1:14" x14ac:dyDescent="0.2">
      <c r="A73" s="112" t="s">
        <v>76</v>
      </c>
      <c r="B73" s="113" t="s">
        <v>380</v>
      </c>
      <c r="C73" s="114">
        <v>13675</v>
      </c>
      <c r="D73" s="114" t="s">
        <v>77</v>
      </c>
      <c r="E73" s="114">
        <v>5693.5</v>
      </c>
      <c r="F73" s="115">
        <v>22.6</v>
      </c>
      <c r="G73" s="114">
        <v>5656.8</v>
      </c>
      <c r="H73" s="114">
        <v>7982.5</v>
      </c>
      <c r="I73" s="114">
        <v>202.1</v>
      </c>
      <c r="J73" s="114">
        <v>650</v>
      </c>
      <c r="K73" s="114">
        <v>5043.5</v>
      </c>
      <c r="L73" s="116">
        <v>39</v>
      </c>
      <c r="M73" s="116" t="s">
        <v>13</v>
      </c>
      <c r="N73" s="117">
        <v>0.8266</v>
      </c>
    </row>
    <row r="74" spans="1:14" ht="13.5" thickBot="1" x14ac:dyDescent="0.25">
      <c r="A74" s="101" t="s">
        <v>380</v>
      </c>
      <c r="B74" s="102" t="s">
        <v>367</v>
      </c>
      <c r="C74" s="103">
        <v>42848</v>
      </c>
      <c r="D74" s="103" t="s">
        <v>13</v>
      </c>
      <c r="E74" s="103">
        <v>18109.5</v>
      </c>
      <c r="F74" s="104" t="s">
        <v>13</v>
      </c>
      <c r="G74" s="103">
        <v>18029.099999999999</v>
      </c>
      <c r="H74" s="103">
        <v>24740.1</v>
      </c>
      <c r="I74" s="103">
        <v>-2079.5</v>
      </c>
      <c r="J74" s="103">
        <v>2280</v>
      </c>
      <c r="K74" s="103">
        <v>15829.5</v>
      </c>
      <c r="L74" s="105" t="s">
        <v>13</v>
      </c>
      <c r="M74" s="105" t="s">
        <v>13</v>
      </c>
      <c r="N74" s="106" t="s">
        <v>13</v>
      </c>
    </row>
    <row r="75" spans="1:14" x14ac:dyDescent="0.2">
      <c r="A75" s="112" t="s">
        <v>13</v>
      </c>
      <c r="B75" s="113" t="s">
        <v>13</v>
      </c>
      <c r="C75" s="114" t="s">
        <v>13</v>
      </c>
      <c r="D75" s="114" t="s">
        <v>13</v>
      </c>
      <c r="E75" s="114" t="s">
        <v>13</v>
      </c>
      <c r="F75" s="115" t="s">
        <v>13</v>
      </c>
      <c r="G75" s="114" t="s">
        <v>13</v>
      </c>
      <c r="H75" s="114" t="s">
        <v>13</v>
      </c>
      <c r="I75" s="114" t="s">
        <v>13</v>
      </c>
      <c r="J75" s="114" t="s">
        <v>13</v>
      </c>
      <c r="K75" s="114" t="s">
        <v>13</v>
      </c>
      <c r="L75" s="116" t="s">
        <v>13</v>
      </c>
      <c r="M75" s="116" t="s">
        <v>13</v>
      </c>
      <c r="N75" s="117" t="s">
        <v>13</v>
      </c>
    </row>
    <row r="76" spans="1:14" x14ac:dyDescent="0.2">
      <c r="A76" s="112" t="s">
        <v>31</v>
      </c>
      <c r="B76" s="113" t="s">
        <v>381</v>
      </c>
      <c r="C76" s="114">
        <v>1548</v>
      </c>
      <c r="D76" s="114" t="s">
        <v>163</v>
      </c>
      <c r="E76" s="114">
        <v>1542.6</v>
      </c>
      <c r="F76" s="115">
        <v>12.7</v>
      </c>
      <c r="G76" s="114">
        <v>1527.3</v>
      </c>
      <c r="H76" s="114" t="s">
        <v>13</v>
      </c>
      <c r="I76" s="114">
        <v>0.3</v>
      </c>
      <c r="J76" s="114">
        <v>90</v>
      </c>
      <c r="K76" s="114">
        <v>1452.6</v>
      </c>
      <c r="L76" s="116" t="s">
        <v>13</v>
      </c>
      <c r="M76" s="116" t="s">
        <v>13</v>
      </c>
      <c r="N76" s="117">
        <v>0.83799999999999997</v>
      </c>
    </row>
    <row r="77" spans="1:14" x14ac:dyDescent="0.2">
      <c r="A77" s="112" t="s">
        <v>78</v>
      </c>
      <c r="B77" s="113" t="s">
        <v>381</v>
      </c>
      <c r="C77" s="114">
        <v>648</v>
      </c>
      <c r="D77" s="114" t="s">
        <v>79</v>
      </c>
      <c r="E77" s="114">
        <v>402.2</v>
      </c>
      <c r="F77" s="115">
        <v>15.6</v>
      </c>
      <c r="G77" s="114">
        <v>402</v>
      </c>
      <c r="H77" s="114">
        <v>230.7</v>
      </c>
      <c r="I77" s="114">
        <v>-115.9</v>
      </c>
      <c r="J77" s="114">
        <v>50</v>
      </c>
      <c r="K77" s="114">
        <v>352.2</v>
      </c>
      <c r="L77" s="116" t="s">
        <v>13</v>
      </c>
      <c r="M77" s="116">
        <v>-3</v>
      </c>
      <c r="N77" s="117">
        <v>0.83889999999999998</v>
      </c>
    </row>
    <row r="78" spans="1:14" ht="13.5" thickBot="1" x14ac:dyDescent="0.25">
      <c r="A78" s="101" t="s">
        <v>381</v>
      </c>
      <c r="B78" s="102" t="s">
        <v>367</v>
      </c>
      <c r="C78" s="103">
        <v>2196</v>
      </c>
      <c r="D78" s="103" t="s">
        <v>13</v>
      </c>
      <c r="E78" s="103">
        <v>1944.8</v>
      </c>
      <c r="F78" s="104" t="s">
        <v>13</v>
      </c>
      <c r="G78" s="103">
        <v>1929.3</v>
      </c>
      <c r="H78" s="103">
        <v>230.7</v>
      </c>
      <c r="I78" s="103">
        <v>-115.60000000000001</v>
      </c>
      <c r="J78" s="103">
        <v>140</v>
      </c>
      <c r="K78" s="103">
        <v>1804.8</v>
      </c>
      <c r="L78" s="105" t="s">
        <v>13</v>
      </c>
      <c r="M78" s="105" t="s">
        <v>13</v>
      </c>
      <c r="N78" s="106" t="s">
        <v>13</v>
      </c>
    </row>
    <row r="79" spans="1:14" x14ac:dyDescent="0.2">
      <c r="A79" s="112" t="s">
        <v>13</v>
      </c>
      <c r="B79" s="113" t="s">
        <v>13</v>
      </c>
      <c r="C79" s="114" t="s">
        <v>13</v>
      </c>
      <c r="D79" s="114" t="s">
        <v>13</v>
      </c>
      <c r="E79" s="114" t="s">
        <v>13</v>
      </c>
      <c r="F79" s="115" t="s">
        <v>13</v>
      </c>
      <c r="G79" s="114" t="s">
        <v>13</v>
      </c>
      <c r="H79" s="114" t="s">
        <v>13</v>
      </c>
      <c r="I79" s="114" t="s">
        <v>13</v>
      </c>
      <c r="J79" s="114" t="s">
        <v>13</v>
      </c>
      <c r="K79" s="114" t="s">
        <v>13</v>
      </c>
      <c r="L79" s="116" t="s">
        <v>13</v>
      </c>
      <c r="M79" s="116" t="s">
        <v>13</v>
      </c>
      <c r="N79" s="117" t="s">
        <v>13</v>
      </c>
    </row>
    <row r="80" spans="1:14" x14ac:dyDescent="0.2">
      <c r="A80" s="112" t="s">
        <v>82</v>
      </c>
      <c r="B80" s="113" t="s">
        <v>382</v>
      </c>
      <c r="C80" s="114">
        <v>4470</v>
      </c>
      <c r="D80" s="114" t="s">
        <v>164</v>
      </c>
      <c r="E80" s="114">
        <v>1086</v>
      </c>
      <c r="F80" s="115">
        <v>12.6</v>
      </c>
      <c r="G80" s="114">
        <v>1088.8</v>
      </c>
      <c r="H80" s="114">
        <v>3384</v>
      </c>
      <c r="I80" s="114">
        <v>0.7</v>
      </c>
      <c r="J80" s="114">
        <v>250</v>
      </c>
      <c r="K80" s="114">
        <v>836</v>
      </c>
      <c r="L80" s="116">
        <v>4834</v>
      </c>
      <c r="M80" s="116" t="s">
        <v>13</v>
      </c>
      <c r="N80" s="117">
        <v>0.81229999999999991</v>
      </c>
    </row>
    <row r="81" spans="1:26" ht="13.5" thickBot="1" x14ac:dyDescent="0.25">
      <c r="A81" s="101" t="s">
        <v>382</v>
      </c>
      <c r="B81" s="102" t="s">
        <v>367</v>
      </c>
      <c r="C81" s="103">
        <v>4470</v>
      </c>
      <c r="D81" s="103" t="s">
        <v>13</v>
      </c>
      <c r="E81" s="103">
        <v>1086</v>
      </c>
      <c r="F81" s="104" t="s">
        <v>13</v>
      </c>
      <c r="G81" s="103">
        <v>1088.8</v>
      </c>
      <c r="H81" s="103">
        <v>3384</v>
      </c>
      <c r="I81" s="103">
        <v>0.7</v>
      </c>
      <c r="J81" s="103">
        <v>250</v>
      </c>
      <c r="K81" s="103">
        <v>836</v>
      </c>
      <c r="L81" s="105" t="s">
        <v>13</v>
      </c>
      <c r="M81" s="105" t="s">
        <v>13</v>
      </c>
      <c r="N81" s="106" t="s">
        <v>13</v>
      </c>
    </row>
    <row r="82" spans="1:26" x14ac:dyDescent="0.2">
      <c r="A82" s="112" t="s">
        <v>13</v>
      </c>
      <c r="B82" s="113" t="s">
        <v>13</v>
      </c>
      <c r="C82" s="114" t="s">
        <v>13</v>
      </c>
      <c r="D82" s="114" t="s">
        <v>13</v>
      </c>
      <c r="E82" s="114" t="s">
        <v>13</v>
      </c>
      <c r="F82" s="115" t="s">
        <v>13</v>
      </c>
      <c r="G82" s="114" t="s">
        <v>13</v>
      </c>
      <c r="H82" s="114" t="s">
        <v>13</v>
      </c>
      <c r="I82" s="114" t="s">
        <v>13</v>
      </c>
      <c r="J82" s="114" t="s">
        <v>13</v>
      </c>
      <c r="K82" s="114" t="s">
        <v>13</v>
      </c>
      <c r="L82" s="116" t="s">
        <v>13</v>
      </c>
      <c r="M82" s="116" t="s">
        <v>13</v>
      </c>
      <c r="N82" s="117" t="s">
        <v>13</v>
      </c>
    </row>
    <row r="83" spans="1:26" x14ac:dyDescent="0.2">
      <c r="A83" s="112" t="s">
        <v>94</v>
      </c>
      <c r="B83" s="113" t="s">
        <v>383</v>
      </c>
      <c r="C83" s="114">
        <v>23330</v>
      </c>
      <c r="D83" s="114" t="s">
        <v>165</v>
      </c>
      <c r="E83" s="114">
        <v>5443.1</v>
      </c>
      <c r="F83" s="115">
        <v>61.7</v>
      </c>
      <c r="G83" s="114">
        <v>5263</v>
      </c>
      <c r="H83" s="114">
        <v>17891.900000000001</v>
      </c>
      <c r="I83" s="114">
        <v>2539.3000000000002</v>
      </c>
      <c r="J83" s="114">
        <v>1220</v>
      </c>
      <c r="K83" s="114">
        <v>4223.1000000000004</v>
      </c>
      <c r="L83" s="116">
        <v>7</v>
      </c>
      <c r="M83" s="116" t="s">
        <v>13</v>
      </c>
      <c r="N83" s="117">
        <v>0.96789999999999998</v>
      </c>
    </row>
    <row r="84" spans="1:26" x14ac:dyDescent="0.2">
      <c r="A84" s="112" t="s">
        <v>90</v>
      </c>
      <c r="B84" s="113" t="s">
        <v>383</v>
      </c>
      <c r="C84" s="114">
        <v>23201</v>
      </c>
      <c r="D84" s="114" t="s">
        <v>171</v>
      </c>
      <c r="E84" s="114">
        <v>1221.7</v>
      </c>
      <c r="F84" s="115">
        <v>71</v>
      </c>
      <c r="G84" s="114">
        <v>1164.0999999999999</v>
      </c>
      <c r="H84" s="114">
        <v>21980.6</v>
      </c>
      <c r="I84" s="114">
        <v>1.6</v>
      </c>
      <c r="J84" s="114">
        <v>1200</v>
      </c>
      <c r="K84" s="114">
        <v>21.7</v>
      </c>
      <c r="L84" s="116">
        <v>13737</v>
      </c>
      <c r="M84" s="116" t="s">
        <v>13</v>
      </c>
      <c r="N84" s="117">
        <v>0.96450000000000002</v>
      </c>
    </row>
    <row r="85" spans="1:26" x14ac:dyDescent="0.2">
      <c r="A85" s="112" t="s">
        <v>89</v>
      </c>
      <c r="B85" s="113" t="s">
        <v>383</v>
      </c>
      <c r="C85" s="114">
        <v>11180</v>
      </c>
      <c r="D85" s="114" t="s">
        <v>183</v>
      </c>
      <c r="E85" s="114">
        <v>465</v>
      </c>
      <c r="F85" s="115">
        <v>34.5</v>
      </c>
      <c r="G85" s="114">
        <v>458.6</v>
      </c>
      <c r="H85" s="114">
        <v>10715.2</v>
      </c>
      <c r="I85" s="114">
        <v>7</v>
      </c>
      <c r="J85" s="114">
        <v>386</v>
      </c>
      <c r="K85" s="114">
        <v>79</v>
      </c>
      <c r="L85" s="116">
        <v>1530</v>
      </c>
      <c r="M85" s="116" t="s">
        <v>13</v>
      </c>
      <c r="N85" s="117">
        <v>0.96339999999999992</v>
      </c>
    </row>
    <row r="86" spans="1:26" x14ac:dyDescent="0.2">
      <c r="A86" s="112" t="s">
        <v>162</v>
      </c>
      <c r="B86" s="113" t="s">
        <v>383</v>
      </c>
      <c r="C86" s="114">
        <v>28706</v>
      </c>
      <c r="D86" s="114" t="s">
        <v>167</v>
      </c>
      <c r="E86" s="114">
        <v>1559.4</v>
      </c>
      <c r="F86" s="115">
        <v>16</v>
      </c>
      <c r="G86" s="114">
        <v>1558.3</v>
      </c>
      <c r="H86" s="114">
        <v>27146.7</v>
      </c>
      <c r="I86" s="114">
        <v>1.9</v>
      </c>
      <c r="J86" s="114">
        <v>1500</v>
      </c>
      <c r="K86" s="114">
        <v>59.4</v>
      </c>
      <c r="L86" s="116">
        <v>14287</v>
      </c>
      <c r="M86" s="116" t="s">
        <v>13</v>
      </c>
      <c r="N86" s="117">
        <v>0.96499999999999997</v>
      </c>
    </row>
    <row r="87" spans="1:26" ht="13.5" thickBot="1" x14ac:dyDescent="0.25">
      <c r="A87" s="101" t="s">
        <v>383</v>
      </c>
      <c r="B87" s="102" t="s">
        <v>367</v>
      </c>
      <c r="C87" s="103">
        <v>86417</v>
      </c>
      <c r="D87" s="103" t="s">
        <v>13</v>
      </c>
      <c r="E87" s="103">
        <v>8689.2000000000007</v>
      </c>
      <c r="F87" s="104" t="s">
        <v>13</v>
      </c>
      <c r="G87" s="103">
        <v>8444</v>
      </c>
      <c r="H87" s="103">
        <v>77734.399999999994</v>
      </c>
      <c r="I87" s="103">
        <v>2549.8000000000002</v>
      </c>
      <c r="J87" s="103">
        <v>4306</v>
      </c>
      <c r="K87" s="103">
        <v>4383.2</v>
      </c>
      <c r="L87" s="105" t="s">
        <v>13</v>
      </c>
      <c r="M87" s="105" t="s">
        <v>13</v>
      </c>
      <c r="N87" s="106" t="s">
        <v>13</v>
      </c>
    </row>
    <row r="88" spans="1:26" x14ac:dyDescent="0.2">
      <c r="A88" s="112" t="s">
        <v>13</v>
      </c>
      <c r="B88" s="113" t="s">
        <v>13</v>
      </c>
      <c r="C88" s="114" t="s">
        <v>13</v>
      </c>
      <c r="D88" s="114" t="s">
        <v>13</v>
      </c>
      <c r="E88" s="114" t="s">
        <v>13</v>
      </c>
      <c r="F88" s="115" t="s">
        <v>13</v>
      </c>
      <c r="G88" s="114" t="s">
        <v>13</v>
      </c>
      <c r="H88" s="114" t="s">
        <v>13</v>
      </c>
      <c r="I88" s="114" t="s">
        <v>13</v>
      </c>
      <c r="J88" s="114" t="s">
        <v>13</v>
      </c>
      <c r="K88" s="114" t="s">
        <v>13</v>
      </c>
      <c r="L88" s="116" t="s">
        <v>13</v>
      </c>
      <c r="M88" s="116" t="s">
        <v>13</v>
      </c>
      <c r="N88" s="117" t="s">
        <v>13</v>
      </c>
    </row>
    <row r="89" spans="1:26" x14ac:dyDescent="0.2">
      <c r="A89" s="112" t="s">
        <v>173</v>
      </c>
      <c r="B89" s="113" t="s">
        <v>384</v>
      </c>
      <c r="C89" s="114">
        <v>1703</v>
      </c>
      <c r="D89" s="114" t="s">
        <v>177</v>
      </c>
      <c r="E89" s="114">
        <v>1156.8</v>
      </c>
      <c r="F89" s="115">
        <v>69</v>
      </c>
      <c r="G89" s="114">
        <v>1113.7</v>
      </c>
      <c r="H89" s="114">
        <v>549</v>
      </c>
      <c r="I89" s="114">
        <v>-29</v>
      </c>
      <c r="J89" s="114">
        <v>300</v>
      </c>
      <c r="K89" s="114">
        <v>856.8</v>
      </c>
      <c r="L89" s="116" t="s">
        <v>13</v>
      </c>
      <c r="M89" s="116">
        <v>-29</v>
      </c>
      <c r="N89" s="117">
        <v>0.98870000000000002</v>
      </c>
    </row>
    <row r="90" spans="1:26" ht="13.5" thickBot="1" x14ac:dyDescent="0.25">
      <c r="A90" s="101" t="s">
        <v>384</v>
      </c>
      <c r="B90" s="102" t="s">
        <v>367</v>
      </c>
      <c r="C90" s="103">
        <v>1703</v>
      </c>
      <c r="D90" s="103" t="s">
        <v>13</v>
      </c>
      <c r="E90" s="103">
        <v>1156.8</v>
      </c>
      <c r="F90" s="104" t="s">
        <v>13</v>
      </c>
      <c r="G90" s="103">
        <v>1113.7</v>
      </c>
      <c r="H90" s="103">
        <v>549</v>
      </c>
      <c r="I90" s="103">
        <v>-29</v>
      </c>
      <c r="J90" s="103">
        <v>300</v>
      </c>
      <c r="K90" s="103">
        <v>856.8</v>
      </c>
      <c r="L90" s="105" t="s">
        <v>13</v>
      </c>
      <c r="M90" s="105" t="s">
        <v>13</v>
      </c>
      <c r="N90" s="106" t="s">
        <v>13</v>
      </c>
      <c r="O90" s="2"/>
      <c r="P90" s="2"/>
      <c r="Q90" s="2"/>
      <c r="R90" s="2"/>
      <c r="S90" s="2"/>
      <c r="T90" s="2"/>
      <c r="U90" s="2"/>
      <c r="V90" s="3"/>
      <c r="W90" s="3"/>
      <c r="X90" s="2"/>
      <c r="Y90" s="2"/>
      <c r="Z90" s="3"/>
    </row>
    <row r="91" spans="1:26" x14ac:dyDescent="0.2">
      <c r="A91" s="112" t="s">
        <v>13</v>
      </c>
      <c r="B91" s="113" t="s">
        <v>13</v>
      </c>
      <c r="C91" s="114" t="s">
        <v>13</v>
      </c>
      <c r="D91" s="114" t="s">
        <v>13</v>
      </c>
      <c r="E91" s="114" t="s">
        <v>13</v>
      </c>
      <c r="F91" s="115" t="s">
        <v>13</v>
      </c>
      <c r="G91" s="114" t="s">
        <v>13</v>
      </c>
      <c r="H91" s="114" t="s">
        <v>13</v>
      </c>
      <c r="I91" s="114" t="s">
        <v>13</v>
      </c>
      <c r="J91" s="114" t="s">
        <v>13</v>
      </c>
      <c r="K91" s="114" t="s">
        <v>13</v>
      </c>
      <c r="L91" s="116" t="s">
        <v>13</v>
      </c>
      <c r="M91" s="116" t="s">
        <v>13</v>
      </c>
      <c r="N91" s="117" t="s">
        <v>13</v>
      </c>
    </row>
    <row r="92" spans="1:26" x14ac:dyDescent="0.2">
      <c r="A92" s="112" t="s">
        <v>85</v>
      </c>
      <c r="B92" s="113" t="s">
        <v>385</v>
      </c>
      <c r="C92" s="114">
        <v>3630</v>
      </c>
      <c r="D92" s="114" t="s">
        <v>148</v>
      </c>
      <c r="E92" s="114">
        <v>1635.8</v>
      </c>
      <c r="F92" s="115">
        <v>60.1</v>
      </c>
      <c r="G92" s="114">
        <v>1581.4</v>
      </c>
      <c r="H92" s="114">
        <v>1995.7</v>
      </c>
      <c r="I92" s="114">
        <v>-171.4</v>
      </c>
      <c r="J92" s="114">
        <v>170</v>
      </c>
      <c r="K92" s="114">
        <v>1465.8</v>
      </c>
      <c r="L92" s="116" t="s">
        <v>13</v>
      </c>
      <c r="M92" s="116">
        <v>-8</v>
      </c>
      <c r="N92" s="117">
        <v>0.97750000000000004</v>
      </c>
    </row>
    <row r="93" spans="1:26" x14ac:dyDescent="0.2">
      <c r="A93" s="112" t="s">
        <v>91</v>
      </c>
      <c r="B93" s="113" t="s">
        <v>385</v>
      </c>
      <c r="C93" s="114">
        <v>2797</v>
      </c>
      <c r="D93" s="114" t="s">
        <v>92</v>
      </c>
      <c r="E93" s="114">
        <v>264.8</v>
      </c>
      <c r="F93" s="115">
        <v>26.2</v>
      </c>
      <c r="G93" s="114">
        <v>262.7</v>
      </c>
      <c r="H93" s="114">
        <v>2532.3000000000002</v>
      </c>
      <c r="I93" s="114">
        <v>0.4</v>
      </c>
      <c r="J93" s="114">
        <v>150</v>
      </c>
      <c r="K93" s="114">
        <v>114.8</v>
      </c>
      <c r="L93" s="116">
        <v>6330</v>
      </c>
      <c r="M93" s="116" t="s">
        <v>13</v>
      </c>
      <c r="N93" s="117">
        <v>0.97750000000000004</v>
      </c>
    </row>
    <row r="94" spans="1:26" ht="13.5" thickBot="1" x14ac:dyDescent="0.25">
      <c r="A94" s="101" t="s">
        <v>385</v>
      </c>
      <c r="B94" s="102" t="s">
        <v>367</v>
      </c>
      <c r="C94" s="103">
        <v>6427</v>
      </c>
      <c r="D94" s="103" t="s">
        <v>13</v>
      </c>
      <c r="E94" s="103">
        <v>1900.6</v>
      </c>
      <c r="F94" s="104" t="s">
        <v>13</v>
      </c>
      <c r="G94" s="103">
        <v>1844.1000000000001</v>
      </c>
      <c r="H94" s="103">
        <v>4528</v>
      </c>
      <c r="I94" s="103">
        <v>-171</v>
      </c>
      <c r="J94" s="103">
        <v>320</v>
      </c>
      <c r="K94" s="103">
        <v>1580.6</v>
      </c>
      <c r="L94" s="105" t="s">
        <v>13</v>
      </c>
      <c r="M94" s="105" t="s">
        <v>13</v>
      </c>
      <c r="N94" s="106" t="s">
        <v>13</v>
      </c>
    </row>
    <row r="95" spans="1:26" x14ac:dyDescent="0.2">
      <c r="A95" s="112" t="s">
        <v>13</v>
      </c>
      <c r="B95" s="113" t="s">
        <v>13</v>
      </c>
      <c r="C95" s="114" t="s">
        <v>13</v>
      </c>
      <c r="D95" s="114" t="s">
        <v>13</v>
      </c>
      <c r="E95" s="114" t="s">
        <v>13</v>
      </c>
      <c r="F95" s="115" t="s">
        <v>13</v>
      </c>
      <c r="G95" s="114" t="s">
        <v>13</v>
      </c>
      <c r="H95" s="114" t="s">
        <v>13</v>
      </c>
      <c r="I95" s="114" t="s">
        <v>13</v>
      </c>
      <c r="J95" s="114" t="s">
        <v>13</v>
      </c>
      <c r="K95" s="114" t="s">
        <v>13</v>
      </c>
      <c r="L95" s="116" t="s">
        <v>13</v>
      </c>
      <c r="M95" s="116" t="s">
        <v>13</v>
      </c>
      <c r="N95" s="117" t="s">
        <v>13</v>
      </c>
    </row>
    <row r="96" spans="1:26" x14ac:dyDescent="0.2">
      <c r="A96" s="112" t="s">
        <v>84</v>
      </c>
      <c r="B96" s="113" t="s">
        <v>386</v>
      </c>
      <c r="C96" s="114">
        <v>19446</v>
      </c>
      <c r="D96" s="114" t="s">
        <v>147</v>
      </c>
      <c r="E96" s="114">
        <v>17036.400000000001</v>
      </c>
      <c r="F96" s="115">
        <v>60.9</v>
      </c>
      <c r="G96" s="114">
        <v>16546.8</v>
      </c>
      <c r="H96" s="114">
        <v>2427.1</v>
      </c>
      <c r="I96" s="114">
        <v>-197.8</v>
      </c>
      <c r="J96" s="114">
        <v>950</v>
      </c>
      <c r="K96" s="114">
        <v>16086.4</v>
      </c>
      <c r="L96" s="116" t="s">
        <v>13</v>
      </c>
      <c r="M96" s="116">
        <v>-81</v>
      </c>
      <c r="N96" s="117">
        <v>0.98499999999999999</v>
      </c>
    </row>
    <row r="97" spans="1:26" x14ac:dyDescent="0.2">
      <c r="A97" s="112" t="s">
        <v>87</v>
      </c>
      <c r="B97" s="113" t="s">
        <v>386</v>
      </c>
      <c r="C97" s="114">
        <v>23144</v>
      </c>
      <c r="D97" s="114" t="s">
        <v>88</v>
      </c>
      <c r="E97" s="114">
        <v>7821.1</v>
      </c>
      <c r="F97" s="115">
        <v>63.6</v>
      </c>
      <c r="G97" s="114">
        <v>7584.9</v>
      </c>
      <c r="H97" s="114">
        <v>15330.4</v>
      </c>
      <c r="I97" s="114">
        <v>4529.5</v>
      </c>
      <c r="J97" s="114">
        <v>1200</v>
      </c>
      <c r="K97" s="114">
        <v>6621.1</v>
      </c>
      <c r="L97" s="116">
        <v>3</v>
      </c>
      <c r="M97" s="116" t="s">
        <v>13</v>
      </c>
      <c r="N97" s="117">
        <v>0.98580000000000001</v>
      </c>
    </row>
    <row r="98" spans="1:26" ht="13.5" thickBot="1" x14ac:dyDescent="0.25">
      <c r="A98" s="101" t="s">
        <v>386</v>
      </c>
      <c r="B98" s="102" t="s">
        <v>367</v>
      </c>
      <c r="C98" s="103">
        <v>42590</v>
      </c>
      <c r="D98" s="103" t="s">
        <v>13</v>
      </c>
      <c r="E98" s="103">
        <v>24857.5</v>
      </c>
      <c r="F98" s="104" t="s">
        <v>13</v>
      </c>
      <c r="G98" s="103">
        <v>24131.699999999997</v>
      </c>
      <c r="H98" s="103">
        <v>17757.5</v>
      </c>
      <c r="I98" s="103">
        <v>4331.7</v>
      </c>
      <c r="J98" s="103">
        <v>2150</v>
      </c>
      <c r="K98" s="103">
        <v>22707.5</v>
      </c>
      <c r="L98" s="105" t="s">
        <v>13</v>
      </c>
      <c r="M98" s="105" t="s">
        <v>13</v>
      </c>
      <c r="N98" s="106" t="s">
        <v>13</v>
      </c>
    </row>
    <row r="99" spans="1:26" x14ac:dyDescent="0.2">
      <c r="A99" s="112" t="s">
        <v>13</v>
      </c>
      <c r="B99" s="113" t="s">
        <v>13</v>
      </c>
      <c r="C99" s="114" t="s">
        <v>13</v>
      </c>
      <c r="D99" s="114" t="s">
        <v>13</v>
      </c>
      <c r="E99" s="114" t="s">
        <v>13</v>
      </c>
      <c r="F99" s="115" t="s">
        <v>13</v>
      </c>
      <c r="G99" s="114" t="s">
        <v>13</v>
      </c>
      <c r="H99" s="114" t="s">
        <v>13</v>
      </c>
      <c r="I99" s="114" t="s">
        <v>13</v>
      </c>
      <c r="J99" s="114" t="s">
        <v>13</v>
      </c>
      <c r="K99" s="114" t="s">
        <v>13</v>
      </c>
      <c r="L99" s="116" t="s">
        <v>13</v>
      </c>
      <c r="M99" s="116" t="s">
        <v>13</v>
      </c>
      <c r="N99" s="117" t="s">
        <v>13</v>
      </c>
    </row>
    <row r="100" spans="1:26" x14ac:dyDescent="0.2">
      <c r="A100" s="112" t="s">
        <v>93</v>
      </c>
      <c r="B100" s="113" t="s">
        <v>387</v>
      </c>
      <c r="C100" s="114">
        <v>23384</v>
      </c>
      <c r="D100" s="114" t="s">
        <v>151</v>
      </c>
      <c r="E100" s="114">
        <v>8996.9</v>
      </c>
      <c r="F100" s="115">
        <v>55.9</v>
      </c>
      <c r="G100" s="114">
        <v>8719.6</v>
      </c>
      <c r="H100" s="114">
        <v>14394.4</v>
      </c>
      <c r="I100" s="114">
        <v>2.5</v>
      </c>
      <c r="J100" s="114">
        <v>1220</v>
      </c>
      <c r="K100" s="114">
        <v>7776.9</v>
      </c>
      <c r="L100" s="116">
        <v>5757</v>
      </c>
      <c r="M100" s="116" t="s">
        <v>13</v>
      </c>
      <c r="N100" s="117">
        <v>0.92170000000000007</v>
      </c>
    </row>
    <row r="101" spans="1:26" ht="13.5" thickBot="1" x14ac:dyDescent="0.25">
      <c r="A101" s="101" t="s">
        <v>387</v>
      </c>
      <c r="B101" s="102" t="s">
        <v>367</v>
      </c>
      <c r="C101" s="103">
        <v>23384</v>
      </c>
      <c r="D101" s="103" t="s">
        <v>13</v>
      </c>
      <c r="E101" s="103">
        <v>8996.9</v>
      </c>
      <c r="F101" s="104" t="s">
        <v>13</v>
      </c>
      <c r="G101" s="103">
        <v>8719.6</v>
      </c>
      <c r="H101" s="103">
        <v>14394.4</v>
      </c>
      <c r="I101" s="103">
        <v>2.5</v>
      </c>
      <c r="J101" s="103">
        <v>1220</v>
      </c>
      <c r="K101" s="103">
        <v>7776.9</v>
      </c>
      <c r="L101" s="105" t="s">
        <v>13</v>
      </c>
      <c r="M101" s="105" t="s">
        <v>13</v>
      </c>
      <c r="N101" s="106" t="s">
        <v>13</v>
      </c>
    </row>
    <row r="102" spans="1:26" x14ac:dyDescent="0.2">
      <c r="A102" s="112" t="s">
        <v>13</v>
      </c>
      <c r="B102" s="113" t="s">
        <v>13</v>
      </c>
      <c r="C102" s="114" t="s">
        <v>13</v>
      </c>
      <c r="D102" s="114" t="s">
        <v>13</v>
      </c>
      <c r="E102" s="114" t="s">
        <v>13</v>
      </c>
      <c r="F102" s="115" t="s">
        <v>13</v>
      </c>
      <c r="G102" s="114" t="s">
        <v>13</v>
      </c>
      <c r="H102" s="114" t="s">
        <v>13</v>
      </c>
      <c r="I102" s="114" t="s">
        <v>13</v>
      </c>
      <c r="J102" s="114" t="s">
        <v>13</v>
      </c>
      <c r="K102" s="114" t="s">
        <v>13</v>
      </c>
      <c r="L102" s="116" t="s">
        <v>13</v>
      </c>
      <c r="M102" s="116" t="s">
        <v>13</v>
      </c>
      <c r="N102" s="117" t="s">
        <v>13</v>
      </c>
    </row>
    <row r="103" spans="1:26" x14ac:dyDescent="0.2">
      <c r="A103" s="112" t="s">
        <v>95</v>
      </c>
      <c r="B103" s="113" t="s">
        <v>388</v>
      </c>
      <c r="C103" s="114">
        <v>14991</v>
      </c>
      <c r="D103" s="114" t="s">
        <v>166</v>
      </c>
      <c r="E103" s="114">
        <v>1022</v>
      </c>
      <c r="F103" s="115">
        <v>118.7</v>
      </c>
      <c r="G103" s="114">
        <v>959.2</v>
      </c>
      <c r="H103" s="114">
        <v>13971</v>
      </c>
      <c r="I103" s="114">
        <v>2.9</v>
      </c>
      <c r="J103" s="114">
        <v>970</v>
      </c>
      <c r="K103" s="114">
        <v>52</v>
      </c>
      <c r="L103" s="116">
        <v>4817</v>
      </c>
      <c r="M103" s="116" t="s">
        <v>13</v>
      </c>
      <c r="N103" s="117">
        <v>1.034</v>
      </c>
    </row>
    <row r="104" spans="1:26" x14ac:dyDescent="0.2">
      <c r="A104" s="112" t="s">
        <v>97</v>
      </c>
      <c r="B104" s="113" t="s">
        <v>388</v>
      </c>
      <c r="C104" s="114">
        <v>1499</v>
      </c>
      <c r="D104" s="114" t="s">
        <v>149</v>
      </c>
      <c r="E104" s="114">
        <v>262.8</v>
      </c>
      <c r="F104" s="115">
        <v>132.30000000000001</v>
      </c>
      <c r="G104" s="114">
        <v>240</v>
      </c>
      <c r="H104" s="114">
        <v>1236.8</v>
      </c>
      <c r="I104" s="114">
        <v>0</v>
      </c>
      <c r="J104" s="114">
        <v>150</v>
      </c>
      <c r="K104" s="114">
        <v>112.8</v>
      </c>
      <c r="L104" s="116" t="s">
        <v>13</v>
      </c>
      <c r="M104" s="116" t="s">
        <v>13</v>
      </c>
      <c r="N104" s="117">
        <v>1.0349999999999999</v>
      </c>
    </row>
    <row r="105" spans="1:26" x14ac:dyDescent="0.2">
      <c r="A105" s="112" t="s">
        <v>98</v>
      </c>
      <c r="B105" s="113" t="s">
        <v>388</v>
      </c>
      <c r="C105" s="114">
        <v>4748</v>
      </c>
      <c r="D105" s="114" t="s">
        <v>150</v>
      </c>
      <c r="E105" s="114">
        <v>368</v>
      </c>
      <c r="F105" s="115">
        <v>109.5</v>
      </c>
      <c r="G105" s="114">
        <v>347.3</v>
      </c>
      <c r="H105" s="114">
        <v>4380.7</v>
      </c>
      <c r="I105" s="114">
        <v>1.7</v>
      </c>
      <c r="J105" s="114">
        <v>280</v>
      </c>
      <c r="K105" s="114">
        <v>88</v>
      </c>
      <c r="L105" s="116">
        <v>2576</v>
      </c>
      <c r="M105" s="116" t="s">
        <v>13</v>
      </c>
      <c r="N105" s="117">
        <v>1.034</v>
      </c>
    </row>
    <row r="106" spans="1:26" ht="13.5" thickBot="1" x14ac:dyDescent="0.25">
      <c r="A106" s="101" t="s">
        <v>388</v>
      </c>
      <c r="B106" s="102" t="s">
        <v>367</v>
      </c>
      <c r="C106" s="103">
        <v>21238</v>
      </c>
      <c r="D106" s="103" t="s">
        <v>13</v>
      </c>
      <c r="E106" s="103">
        <v>1652.8</v>
      </c>
      <c r="F106" s="104" t="s">
        <v>13</v>
      </c>
      <c r="G106" s="103">
        <v>1546.5</v>
      </c>
      <c r="H106" s="103">
        <v>19588.5</v>
      </c>
      <c r="I106" s="103">
        <v>4.5999999999999996</v>
      </c>
      <c r="J106" s="103">
        <v>1400</v>
      </c>
      <c r="K106" s="103">
        <v>252.8</v>
      </c>
      <c r="L106" s="105" t="s">
        <v>13</v>
      </c>
      <c r="M106" s="105" t="s">
        <v>13</v>
      </c>
      <c r="N106" s="106" t="s">
        <v>13</v>
      </c>
    </row>
    <row r="107" spans="1:26" x14ac:dyDescent="0.2">
      <c r="A107" s="112" t="s">
        <v>13</v>
      </c>
      <c r="B107" s="113" t="s">
        <v>13</v>
      </c>
      <c r="C107" s="114" t="s">
        <v>13</v>
      </c>
      <c r="D107" s="114" t="s">
        <v>13</v>
      </c>
      <c r="E107" s="114" t="s">
        <v>13</v>
      </c>
      <c r="F107" s="115" t="s">
        <v>13</v>
      </c>
      <c r="G107" s="114" t="s">
        <v>13</v>
      </c>
      <c r="H107" s="114" t="s">
        <v>13</v>
      </c>
      <c r="I107" s="114" t="s">
        <v>13</v>
      </c>
      <c r="J107" s="114" t="s">
        <v>13</v>
      </c>
      <c r="K107" s="114" t="s">
        <v>13</v>
      </c>
      <c r="L107" s="116" t="s">
        <v>13</v>
      </c>
      <c r="M107" s="116" t="s">
        <v>13</v>
      </c>
      <c r="N107" s="117" t="s">
        <v>13</v>
      </c>
    </row>
    <row r="108" spans="1:26" x14ac:dyDescent="0.2">
      <c r="A108" s="112" t="s">
        <v>12</v>
      </c>
      <c r="B108" s="113" t="s">
        <v>393</v>
      </c>
      <c r="C108" s="114">
        <v>36892</v>
      </c>
      <c r="D108" s="114" t="s">
        <v>143</v>
      </c>
      <c r="E108" s="114">
        <v>21756.1</v>
      </c>
      <c r="F108" s="115">
        <v>10.7</v>
      </c>
      <c r="G108" s="114">
        <v>21845.3</v>
      </c>
      <c r="H108" s="114">
        <v>14912.3</v>
      </c>
      <c r="I108" s="114">
        <v>853.1</v>
      </c>
      <c r="J108" s="114">
        <v>6200</v>
      </c>
      <c r="K108" s="114">
        <v>15556.1</v>
      </c>
      <c r="L108" s="116">
        <v>17</v>
      </c>
      <c r="M108" s="116" t="s">
        <v>13</v>
      </c>
      <c r="N108" s="117">
        <v>0.80500000000000005</v>
      </c>
    </row>
    <row r="109" spans="1:26" x14ac:dyDescent="0.2">
      <c r="A109" s="112" t="s">
        <v>101</v>
      </c>
      <c r="B109" s="113" t="s">
        <v>393</v>
      </c>
      <c r="C109" s="114">
        <v>293</v>
      </c>
      <c r="D109" s="114" t="s">
        <v>102</v>
      </c>
      <c r="E109" s="114">
        <v>177.3</v>
      </c>
      <c r="F109" s="115">
        <v>15</v>
      </c>
      <c r="G109" s="114">
        <v>177.3</v>
      </c>
      <c r="H109" s="114">
        <v>352.7</v>
      </c>
      <c r="I109" s="114">
        <v>0</v>
      </c>
      <c r="J109" s="114">
        <v>80</v>
      </c>
      <c r="K109" s="114">
        <v>97.3</v>
      </c>
      <c r="L109" s="116" t="s">
        <v>13</v>
      </c>
      <c r="M109" s="116" t="s">
        <v>13</v>
      </c>
      <c r="N109" s="117">
        <v>0.7792</v>
      </c>
    </row>
    <row r="110" spans="1:26" x14ac:dyDescent="0.2">
      <c r="A110" s="112" t="s">
        <v>103</v>
      </c>
      <c r="B110" s="113" t="s">
        <v>393</v>
      </c>
      <c r="C110" s="114">
        <v>293</v>
      </c>
      <c r="D110" s="114" t="s">
        <v>102</v>
      </c>
      <c r="E110" s="114">
        <v>177.2</v>
      </c>
      <c r="F110" s="115">
        <v>15</v>
      </c>
      <c r="G110" s="114">
        <v>177.2</v>
      </c>
      <c r="H110" s="114">
        <v>352.7</v>
      </c>
      <c r="I110" s="114">
        <v>0</v>
      </c>
      <c r="J110" s="114">
        <v>80</v>
      </c>
      <c r="K110" s="114">
        <v>97.2</v>
      </c>
      <c r="L110" s="116" t="s">
        <v>13</v>
      </c>
      <c r="M110" s="116" t="s">
        <v>13</v>
      </c>
      <c r="N110" s="117">
        <v>0.7792</v>
      </c>
      <c r="O110" s="2"/>
      <c r="P110" s="2"/>
      <c r="Q110" s="2"/>
      <c r="R110" s="2"/>
      <c r="S110" s="2"/>
      <c r="T110" s="2"/>
      <c r="U110" s="2"/>
      <c r="V110" s="3"/>
      <c r="W110" s="3"/>
      <c r="X110" s="2"/>
      <c r="Y110" s="2"/>
      <c r="Z110" s="3"/>
    </row>
    <row r="111" spans="1:26" ht="13.5" thickBot="1" x14ac:dyDescent="0.25">
      <c r="A111" s="101" t="s">
        <v>393</v>
      </c>
      <c r="B111" s="102" t="s">
        <v>367</v>
      </c>
      <c r="C111" s="103">
        <v>37478</v>
      </c>
      <c r="D111" s="103" t="s">
        <v>13</v>
      </c>
      <c r="E111" s="103">
        <v>22110.6</v>
      </c>
      <c r="F111" s="104" t="s">
        <v>13</v>
      </c>
      <c r="G111" s="103">
        <v>22199.8</v>
      </c>
      <c r="H111" s="103">
        <v>15617.7</v>
      </c>
      <c r="I111" s="103">
        <v>853.1</v>
      </c>
      <c r="J111" s="103">
        <v>6360</v>
      </c>
      <c r="K111" s="103">
        <v>15750.6</v>
      </c>
      <c r="L111" s="105" t="s">
        <v>13</v>
      </c>
      <c r="M111" s="105" t="s">
        <v>13</v>
      </c>
      <c r="N111" s="106" t="s">
        <v>13</v>
      </c>
    </row>
    <row r="112" spans="1:26" ht="13.5" thickBot="1" x14ac:dyDescent="0.25">
      <c r="A112" t="s">
        <v>13</v>
      </c>
      <c r="B112" s="94" t="s">
        <v>13</v>
      </c>
      <c r="C112" t="s">
        <v>13</v>
      </c>
      <c r="D112" t="s">
        <v>13</v>
      </c>
      <c r="E112" t="s">
        <v>13</v>
      </c>
      <c r="F112" s="31" t="s">
        <v>13</v>
      </c>
      <c r="G112" t="s">
        <v>13</v>
      </c>
      <c r="H112" t="s">
        <v>13</v>
      </c>
      <c r="I112" t="s">
        <v>13</v>
      </c>
      <c r="J112" t="s">
        <v>13</v>
      </c>
      <c r="K112" t="s">
        <v>13</v>
      </c>
      <c r="L112" s="6" t="s">
        <v>13</v>
      </c>
      <c r="M112" s="6" t="s">
        <v>13</v>
      </c>
      <c r="N112" s="29" t="s">
        <v>13</v>
      </c>
    </row>
    <row r="113" spans="1:26" ht="26.25" thickBot="1" x14ac:dyDescent="0.25">
      <c r="A113" s="9" t="s">
        <v>0</v>
      </c>
      <c r="B113" s="10" t="s">
        <v>1</v>
      </c>
      <c r="C113" s="11" t="s">
        <v>111</v>
      </c>
      <c r="D113" s="11" t="s">
        <v>160</v>
      </c>
      <c r="E113" s="12" t="s">
        <v>112</v>
      </c>
    </row>
    <row r="114" spans="1:26" x14ac:dyDescent="0.2">
      <c r="A114" s="7" t="s">
        <v>114</v>
      </c>
      <c r="B114" s="76" t="s">
        <v>139</v>
      </c>
      <c r="C114" s="13">
        <v>4044</v>
      </c>
      <c r="D114" s="14" t="s">
        <v>135</v>
      </c>
      <c r="E114" s="21">
        <v>3700</v>
      </c>
      <c r="F114" s="2"/>
      <c r="G114" s="2"/>
      <c r="H114" s="2"/>
      <c r="I114" s="2"/>
      <c r="J114" s="3"/>
      <c r="K114" s="3"/>
      <c r="L114" s="2"/>
      <c r="M114" s="2"/>
      <c r="N114" s="3"/>
      <c r="O114" s="2"/>
      <c r="P114" s="2"/>
      <c r="Q114" s="2"/>
      <c r="R114" s="2"/>
      <c r="S114" s="2"/>
      <c r="T114" s="2"/>
      <c r="U114" s="2"/>
      <c r="V114" s="3"/>
      <c r="W114" s="3"/>
      <c r="X114" s="2"/>
      <c r="Y114" s="2"/>
      <c r="Z114" s="3"/>
    </row>
    <row r="115" spans="1:26" x14ac:dyDescent="0.2">
      <c r="A115" s="7" t="s">
        <v>140</v>
      </c>
      <c r="B115" s="76" t="s">
        <v>141</v>
      </c>
      <c r="C115" s="13">
        <v>3362</v>
      </c>
      <c r="D115" s="14" t="s">
        <v>135</v>
      </c>
      <c r="E115" s="21">
        <v>3130</v>
      </c>
    </row>
    <row r="116" spans="1:26" x14ac:dyDescent="0.2">
      <c r="A116" s="7" t="s">
        <v>116</v>
      </c>
      <c r="B116" s="13" t="s">
        <v>117</v>
      </c>
      <c r="C116" s="13">
        <v>78000</v>
      </c>
      <c r="D116" s="14" t="s">
        <v>118</v>
      </c>
      <c r="E116" s="21">
        <v>5100</v>
      </c>
    </row>
    <row r="117" spans="1:26" x14ac:dyDescent="0.2">
      <c r="A117" s="7" t="s">
        <v>119</v>
      </c>
      <c r="C117" s="13">
        <v>19000</v>
      </c>
      <c r="D117" s="14" t="s">
        <v>118</v>
      </c>
      <c r="E117" s="21">
        <v>0</v>
      </c>
      <c r="G117" s="1"/>
    </row>
    <row r="118" spans="1:26" x14ac:dyDescent="0.2">
      <c r="A118" s="7" t="s">
        <v>120</v>
      </c>
      <c r="B118" s="74" t="s">
        <v>188</v>
      </c>
      <c r="C118" s="13">
        <v>56000</v>
      </c>
      <c r="D118" s="14" t="s">
        <v>115</v>
      </c>
      <c r="E118" s="21">
        <v>23930</v>
      </c>
    </row>
    <row r="119" spans="1:26" ht="13.5" thickBot="1" x14ac:dyDescent="0.25">
      <c r="A119" s="7" t="s">
        <v>121</v>
      </c>
      <c r="B119" s="74" t="s">
        <v>194</v>
      </c>
      <c r="C119" s="13">
        <v>45000</v>
      </c>
      <c r="D119" s="14" t="s">
        <v>115</v>
      </c>
      <c r="E119" s="21">
        <v>27384</v>
      </c>
    </row>
    <row r="120" spans="1:26" x14ac:dyDescent="0.2">
      <c r="A120" s="19"/>
      <c r="B120" s="15"/>
      <c r="C120" s="15"/>
      <c r="D120" s="16"/>
      <c r="E120" s="50"/>
    </row>
    <row r="121" spans="1:26" x14ac:dyDescent="0.2">
      <c r="A121" s="7" t="s">
        <v>122</v>
      </c>
      <c r="B121" s="13" t="s">
        <v>123</v>
      </c>
      <c r="C121" s="13" t="s">
        <v>124</v>
      </c>
      <c r="D121" s="14" t="s">
        <v>125</v>
      </c>
      <c r="E121" s="21"/>
    </row>
    <row r="122" spans="1:26" x14ac:dyDescent="0.2">
      <c r="A122" s="7" t="s">
        <v>126</v>
      </c>
      <c r="B122" s="13" t="s">
        <v>127</v>
      </c>
      <c r="C122" s="13" t="s">
        <v>124</v>
      </c>
      <c r="D122" s="14" t="s">
        <v>125</v>
      </c>
      <c r="E122" s="21"/>
    </row>
    <row r="123" spans="1:26" ht="13.5" thickBot="1" x14ac:dyDescent="0.25">
      <c r="A123" s="8" t="s">
        <v>128</v>
      </c>
      <c r="B123" s="17" t="s">
        <v>29</v>
      </c>
      <c r="C123" s="17" t="s">
        <v>124</v>
      </c>
      <c r="D123" s="18" t="s">
        <v>125</v>
      </c>
      <c r="E123" s="22"/>
    </row>
    <row r="124" spans="1:26" ht="13.5" thickBot="1" x14ac:dyDescent="0.25">
      <c r="A124" s="87" t="s">
        <v>174</v>
      </c>
      <c r="B124" s="88"/>
      <c r="C124" s="88"/>
      <c r="D124" s="89"/>
      <c r="E124" s="90">
        <v>7</v>
      </c>
    </row>
    <row r="126" spans="1:26" x14ac:dyDescent="0.2">
      <c r="A126" t="s">
        <v>129</v>
      </c>
      <c r="D126" s="51">
        <v>0</v>
      </c>
      <c r="E126" t="s">
        <v>130</v>
      </c>
      <c r="F126" s="6">
        <v>0</v>
      </c>
      <c r="G126" t="s">
        <v>131</v>
      </c>
      <c r="L126" t="s">
        <v>132</v>
      </c>
    </row>
    <row r="127" spans="1:26" x14ac:dyDescent="0.2">
      <c r="A127" t="s">
        <v>133</v>
      </c>
      <c r="D127" s="52">
        <v>6</v>
      </c>
      <c r="E127" t="s">
        <v>130</v>
      </c>
      <c r="F127" s="6">
        <v>38</v>
      </c>
      <c r="G127" t="s">
        <v>131</v>
      </c>
    </row>
    <row r="128" spans="1:26" x14ac:dyDescent="0.2">
      <c r="A128" t="s">
        <v>134</v>
      </c>
      <c r="D128" s="97">
        <v>1</v>
      </c>
      <c r="E128" t="s">
        <v>130</v>
      </c>
      <c r="F128" s="6">
        <v>6</v>
      </c>
      <c r="G128" t="s">
        <v>131</v>
      </c>
      <c r="H128" s="1"/>
    </row>
    <row r="129" spans="1:14" x14ac:dyDescent="0.2">
      <c r="A129" t="s">
        <v>13</v>
      </c>
      <c r="B129" s="94" t="s">
        <v>13</v>
      </c>
      <c r="C129" t="s">
        <v>13</v>
      </c>
      <c r="D129" t="s">
        <v>13</v>
      </c>
      <c r="E129" t="s">
        <v>13</v>
      </c>
      <c r="F129" s="31" t="s">
        <v>13</v>
      </c>
      <c r="G129" t="s">
        <v>13</v>
      </c>
      <c r="H129" t="s">
        <v>13</v>
      </c>
      <c r="I129" t="s">
        <v>13</v>
      </c>
      <c r="J129" t="s">
        <v>13</v>
      </c>
      <c r="K129" t="s">
        <v>13</v>
      </c>
      <c r="L129" s="6" t="s">
        <v>13</v>
      </c>
      <c r="M129" s="6" t="s">
        <v>13</v>
      </c>
      <c r="N129" s="29" t="s">
        <v>13</v>
      </c>
    </row>
    <row r="167" spans="15:26" x14ac:dyDescent="0.2">
      <c r="O167" s="2"/>
      <c r="P167" s="2"/>
      <c r="Q167" s="2"/>
      <c r="R167" s="2"/>
      <c r="S167" s="2"/>
      <c r="T167" s="2"/>
      <c r="U167" s="2"/>
      <c r="V167" s="3"/>
      <c r="W167" s="3"/>
      <c r="X167" s="2"/>
      <c r="Y167" s="2"/>
      <c r="Z167" s="3"/>
    </row>
  </sheetData>
  <pageMargins left="0.35433070866141736" right="0.15748031496062992" top="0.19685039370078741" bottom="0.23622047244094491" header="0.35433070866141736" footer="0.23622047244094491"/>
  <pageSetup paperSize="9" scale="90" orientation="landscape"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R37"/>
  <sheetViews>
    <sheetView tabSelected="1" zoomScale="114" zoomScaleNormal="114" workbookViewId="0">
      <selection sqref="A1:F1"/>
    </sheetView>
  </sheetViews>
  <sheetFormatPr defaultRowHeight="12.75" x14ac:dyDescent="0.2"/>
  <cols>
    <col min="1" max="1" width="5.85546875" customWidth="1"/>
    <col min="3" max="3" width="13.140625" customWidth="1"/>
    <col min="4" max="4" width="9" bestFit="1" customWidth="1"/>
    <col min="6" max="6" width="10.85546875" customWidth="1"/>
    <col min="7" max="7" width="12.28515625" customWidth="1"/>
    <col min="12" max="12" width="4" customWidth="1"/>
  </cols>
  <sheetData>
    <row r="1" spans="1:18" x14ac:dyDescent="0.2">
      <c r="A1" s="119"/>
      <c r="B1" s="120"/>
      <c r="C1" s="120"/>
      <c r="D1" s="120"/>
      <c r="E1" s="120"/>
      <c r="F1" s="121"/>
      <c r="G1" s="20"/>
      <c r="H1" s="20"/>
      <c r="I1" s="20"/>
      <c r="J1" s="20"/>
      <c r="K1" s="20"/>
      <c r="L1" s="20"/>
      <c r="M1" s="20"/>
      <c r="N1" s="20"/>
      <c r="O1" s="20"/>
      <c r="P1" s="20"/>
      <c r="Q1" s="20"/>
      <c r="R1" s="20"/>
    </row>
    <row r="2" spans="1:18" ht="13.5" thickBot="1" x14ac:dyDescent="0.25">
      <c r="A2" s="119"/>
      <c r="B2" s="120"/>
      <c r="C2" s="120"/>
      <c r="D2" s="120"/>
      <c r="E2" s="120"/>
      <c r="F2" s="121"/>
      <c r="G2" s="20"/>
      <c r="H2" s="20"/>
      <c r="I2" s="20"/>
      <c r="J2" s="20"/>
      <c r="K2" s="20"/>
      <c r="L2" s="20"/>
      <c r="M2" s="20"/>
      <c r="N2" s="20"/>
      <c r="O2" s="20"/>
      <c r="P2" s="20"/>
      <c r="Q2" s="20"/>
      <c r="R2" s="20"/>
    </row>
    <row r="3" spans="1:18" ht="26.25" thickBot="1" x14ac:dyDescent="0.25">
      <c r="A3" s="20"/>
      <c r="B3" s="34" t="s">
        <v>0</v>
      </c>
      <c r="C3" s="35" t="s">
        <v>1</v>
      </c>
      <c r="D3" s="36" t="s">
        <v>111</v>
      </c>
      <c r="E3" s="36" t="s">
        <v>159</v>
      </c>
      <c r="F3" s="49" t="s">
        <v>112</v>
      </c>
      <c r="G3" s="20"/>
      <c r="H3" s="20"/>
      <c r="I3" s="20"/>
      <c r="J3" s="20"/>
      <c r="K3" s="20"/>
      <c r="L3" s="20"/>
      <c r="M3" s="20"/>
      <c r="N3" s="20"/>
      <c r="O3" s="20"/>
      <c r="P3" s="20"/>
      <c r="Q3" s="20"/>
      <c r="R3" s="20"/>
    </row>
    <row r="4" spans="1:18" x14ac:dyDescent="0.2">
      <c r="A4" s="20"/>
      <c r="B4" s="37" t="s">
        <v>114</v>
      </c>
      <c r="C4" s="77" t="s">
        <v>139</v>
      </c>
      <c r="D4" s="38">
        <v>4044</v>
      </c>
      <c r="E4" s="39" t="s">
        <v>135</v>
      </c>
      <c r="F4" s="21">
        <v>3700</v>
      </c>
      <c r="G4" s="20"/>
      <c r="H4" s="20"/>
      <c r="I4" s="20"/>
      <c r="J4" s="20"/>
      <c r="K4" s="20"/>
      <c r="L4" s="20"/>
      <c r="M4" s="20"/>
      <c r="N4" s="20"/>
      <c r="O4" s="20"/>
      <c r="P4" s="20"/>
      <c r="Q4" s="20"/>
      <c r="R4" s="20"/>
    </row>
    <row r="5" spans="1:18" x14ac:dyDescent="0.2">
      <c r="A5" s="20"/>
      <c r="B5" s="37" t="s">
        <v>140</v>
      </c>
      <c r="C5" s="77" t="s">
        <v>141</v>
      </c>
      <c r="D5" s="38">
        <v>3362</v>
      </c>
      <c r="E5" s="39" t="s">
        <v>135</v>
      </c>
      <c r="F5" s="21">
        <v>3130</v>
      </c>
      <c r="G5" s="20"/>
      <c r="H5" s="20"/>
      <c r="I5" s="20"/>
      <c r="J5" s="20"/>
      <c r="K5" s="20"/>
      <c r="L5" s="20"/>
      <c r="M5" s="20"/>
      <c r="N5" s="20"/>
      <c r="O5" s="20"/>
      <c r="P5" s="20"/>
      <c r="Q5" s="20"/>
      <c r="R5" s="20"/>
    </row>
    <row r="6" spans="1:18" x14ac:dyDescent="0.2">
      <c r="A6" s="20"/>
      <c r="B6" s="37" t="s">
        <v>116</v>
      </c>
      <c r="C6" s="38" t="s">
        <v>117</v>
      </c>
      <c r="D6" s="38">
        <v>78000</v>
      </c>
      <c r="E6" s="39" t="s">
        <v>118</v>
      </c>
      <c r="F6" s="21">
        <v>5100</v>
      </c>
      <c r="G6" s="20"/>
      <c r="H6" s="20"/>
      <c r="I6" s="20"/>
      <c r="J6" s="20"/>
      <c r="K6" s="20"/>
      <c r="L6" s="20"/>
      <c r="M6" s="20"/>
      <c r="N6" s="20"/>
      <c r="O6" s="20"/>
      <c r="P6" s="20"/>
      <c r="Q6" s="20"/>
      <c r="R6" s="20"/>
    </row>
    <row r="7" spans="1:18" x14ac:dyDescent="0.2">
      <c r="A7" s="20"/>
      <c r="B7" s="37" t="s">
        <v>119</v>
      </c>
      <c r="C7" s="75"/>
      <c r="D7" s="38">
        <v>19000</v>
      </c>
      <c r="E7" s="39" t="s">
        <v>118</v>
      </c>
      <c r="F7" s="21">
        <v>0</v>
      </c>
      <c r="G7" s="20"/>
      <c r="H7" s="20"/>
      <c r="I7" s="20"/>
      <c r="J7" s="20"/>
      <c r="K7" s="20"/>
      <c r="L7" s="20"/>
      <c r="M7" s="20"/>
      <c r="N7" s="20"/>
      <c r="O7" s="20"/>
      <c r="P7" s="20"/>
      <c r="Q7" s="20"/>
      <c r="R7" s="20"/>
    </row>
    <row r="8" spans="1:18" x14ac:dyDescent="0.2">
      <c r="A8" s="20"/>
      <c r="B8" s="37" t="s">
        <v>120</v>
      </c>
      <c r="C8" s="75" t="s">
        <v>188</v>
      </c>
      <c r="D8" s="38">
        <v>56000</v>
      </c>
      <c r="E8" s="39" t="s">
        <v>115</v>
      </c>
      <c r="F8" s="21">
        <v>23930</v>
      </c>
      <c r="G8" s="20"/>
      <c r="H8" s="20"/>
      <c r="I8" s="20"/>
      <c r="J8" s="20"/>
      <c r="K8" s="20"/>
      <c r="L8" s="20"/>
      <c r="M8" s="20"/>
      <c r="N8" s="20"/>
      <c r="O8" s="20"/>
      <c r="P8" s="20"/>
      <c r="Q8" s="20"/>
      <c r="R8" s="20"/>
    </row>
    <row r="9" spans="1:18" ht="13.5" thickBot="1" x14ac:dyDescent="0.25">
      <c r="A9" s="20"/>
      <c r="B9" s="37" t="s">
        <v>121</v>
      </c>
      <c r="C9" s="75" t="s">
        <v>194</v>
      </c>
      <c r="D9" s="38">
        <v>45000</v>
      </c>
      <c r="E9" s="39" t="s">
        <v>115</v>
      </c>
      <c r="F9" s="21">
        <v>27384</v>
      </c>
      <c r="G9" s="20"/>
      <c r="H9" s="20"/>
      <c r="I9" s="20"/>
      <c r="J9" s="20"/>
      <c r="K9" s="20"/>
      <c r="L9" s="20"/>
      <c r="M9" s="20"/>
      <c r="N9" s="20"/>
      <c r="O9" s="20"/>
      <c r="P9" s="20"/>
      <c r="Q9" s="20"/>
      <c r="R9" s="20"/>
    </row>
    <row r="10" spans="1:18" ht="13.5" thickBot="1" x14ac:dyDescent="0.25">
      <c r="A10" s="20"/>
      <c r="B10" s="40"/>
      <c r="C10" s="41"/>
      <c r="D10" s="41"/>
      <c r="E10" s="42"/>
      <c r="F10" s="32"/>
      <c r="G10" s="20"/>
      <c r="H10" s="20"/>
      <c r="I10" s="20"/>
      <c r="J10" s="20"/>
      <c r="K10" s="20"/>
      <c r="L10" s="20"/>
      <c r="M10" s="20"/>
      <c r="N10" s="20"/>
      <c r="O10" s="20"/>
      <c r="P10" s="20"/>
      <c r="Q10" s="20"/>
      <c r="R10" s="20"/>
    </row>
    <row r="11" spans="1:18" x14ac:dyDescent="0.2">
      <c r="A11" s="20"/>
      <c r="B11" s="37" t="s">
        <v>122</v>
      </c>
      <c r="C11" s="38" t="s">
        <v>123</v>
      </c>
      <c r="D11" s="38" t="s">
        <v>124</v>
      </c>
      <c r="E11" s="39" t="s">
        <v>125</v>
      </c>
      <c r="F11" s="91">
        <v>0</v>
      </c>
      <c r="G11" s="20"/>
      <c r="H11" s="20"/>
      <c r="I11" s="20"/>
      <c r="J11" s="20"/>
      <c r="K11" s="20"/>
      <c r="L11" s="20"/>
      <c r="M11" s="20"/>
      <c r="N11" s="20"/>
      <c r="O11" s="20"/>
      <c r="P11" s="20"/>
      <c r="Q11" s="20"/>
      <c r="R11" s="20"/>
    </row>
    <row r="12" spans="1:18" x14ac:dyDescent="0.2">
      <c r="A12" s="20"/>
      <c r="B12" s="37" t="s">
        <v>126</v>
      </c>
      <c r="C12" s="38" t="s">
        <v>127</v>
      </c>
      <c r="D12" s="38" t="s">
        <v>124</v>
      </c>
      <c r="E12" s="39" t="s">
        <v>125</v>
      </c>
      <c r="F12" s="21">
        <v>0</v>
      </c>
      <c r="G12" s="20"/>
      <c r="H12" s="20"/>
      <c r="I12" s="20"/>
      <c r="J12" s="20"/>
      <c r="K12" s="20"/>
      <c r="L12" s="20"/>
      <c r="M12" s="20"/>
      <c r="N12" s="20"/>
      <c r="O12" s="20"/>
      <c r="P12" s="20"/>
      <c r="Q12" s="20"/>
      <c r="R12" s="20"/>
    </row>
    <row r="13" spans="1:18" ht="13.5" thickBot="1" x14ac:dyDescent="0.25">
      <c r="A13" s="20"/>
      <c r="B13" s="43" t="s">
        <v>128</v>
      </c>
      <c r="C13" s="44" t="s">
        <v>29</v>
      </c>
      <c r="D13" s="44" t="s">
        <v>124</v>
      </c>
      <c r="E13" s="45" t="s">
        <v>125</v>
      </c>
      <c r="F13" s="22">
        <v>0</v>
      </c>
      <c r="G13" s="20"/>
      <c r="H13" s="20"/>
      <c r="I13" s="20"/>
      <c r="J13" s="20"/>
      <c r="K13" s="20"/>
      <c r="L13" s="20"/>
      <c r="M13" s="20"/>
      <c r="N13" s="20"/>
      <c r="O13" s="20"/>
      <c r="P13" s="20"/>
      <c r="Q13" s="20"/>
      <c r="R13" s="20"/>
    </row>
    <row r="14" spans="1:18" ht="13.5" thickBot="1" x14ac:dyDescent="0.25">
      <c r="A14" s="20"/>
      <c r="B14" s="84" t="s">
        <v>174</v>
      </c>
      <c r="C14" s="85"/>
      <c r="D14" s="85"/>
      <c r="E14" s="86"/>
      <c r="F14" s="100">
        <v>7</v>
      </c>
      <c r="G14" s="20">
        <v>8</v>
      </c>
      <c r="H14" s="20"/>
      <c r="I14" s="20"/>
      <c r="J14" s="20"/>
      <c r="K14" s="20"/>
      <c r="L14" s="20"/>
      <c r="M14" s="20"/>
      <c r="N14" s="20"/>
      <c r="O14" s="20"/>
      <c r="P14" s="20"/>
      <c r="Q14" s="20"/>
      <c r="R14" s="20"/>
    </row>
    <row r="15" spans="1:18" x14ac:dyDescent="0.2">
      <c r="A15" s="20"/>
      <c r="B15" s="46"/>
      <c r="C15" s="47"/>
      <c r="D15" s="47"/>
      <c r="E15" s="81"/>
      <c r="F15" s="82"/>
      <c r="G15" s="20"/>
      <c r="H15" s="20"/>
      <c r="I15" s="20"/>
      <c r="J15" s="20"/>
      <c r="K15" s="20"/>
      <c r="L15" s="20"/>
      <c r="M15" s="20"/>
      <c r="N15" s="20"/>
      <c r="O15" s="20"/>
      <c r="P15" s="20"/>
      <c r="Q15" s="20"/>
      <c r="R15" s="20"/>
    </row>
    <row r="16" spans="1:18" x14ac:dyDescent="0.2">
      <c r="A16" s="20"/>
      <c r="B16" s="46" t="s">
        <v>136</v>
      </c>
      <c r="C16" s="47"/>
      <c r="D16" s="47"/>
      <c r="E16" s="47"/>
      <c r="F16" s="51">
        <v>0</v>
      </c>
      <c r="G16" s="20"/>
      <c r="H16" s="20"/>
      <c r="I16" s="20"/>
      <c r="J16" s="20"/>
      <c r="K16" s="20"/>
      <c r="L16" s="20"/>
      <c r="M16" s="20"/>
      <c r="N16" s="20"/>
      <c r="O16" s="20"/>
      <c r="P16" s="20"/>
      <c r="Q16" s="20"/>
      <c r="R16" s="20"/>
    </row>
    <row r="17" spans="1:18" ht="13.5" thickBot="1" x14ac:dyDescent="0.25">
      <c r="A17" s="20"/>
      <c r="B17" s="98"/>
      <c r="C17" s="48"/>
      <c r="D17" s="48"/>
      <c r="E17" s="48"/>
      <c r="F17" s="33"/>
      <c r="G17" s="20"/>
      <c r="H17" s="20"/>
      <c r="I17" s="20"/>
      <c r="J17" s="20"/>
      <c r="K17" s="20"/>
      <c r="L17" s="20"/>
      <c r="M17" s="20"/>
      <c r="N17" s="20"/>
      <c r="O17" s="20"/>
      <c r="P17" s="20"/>
      <c r="Q17" s="20"/>
      <c r="R17" s="20"/>
    </row>
    <row r="18" spans="1:18" x14ac:dyDescent="0.2">
      <c r="A18" s="20"/>
      <c r="B18" s="20"/>
      <c r="C18" s="20"/>
      <c r="D18" s="20"/>
      <c r="E18" s="20"/>
      <c r="F18" s="20"/>
      <c r="G18" s="20"/>
      <c r="H18" s="20"/>
      <c r="I18" s="20"/>
      <c r="J18" s="20"/>
      <c r="K18" s="20"/>
      <c r="L18" s="20"/>
      <c r="M18" s="20"/>
      <c r="N18" s="20"/>
      <c r="O18" s="20"/>
      <c r="P18" s="20"/>
      <c r="Q18" s="20"/>
      <c r="R18" s="20"/>
    </row>
    <row r="19" spans="1:18" x14ac:dyDescent="0.2">
      <c r="A19" s="20"/>
      <c r="B19" s="99" t="s">
        <v>195</v>
      </c>
      <c r="C19" s="20"/>
      <c r="D19" s="20"/>
      <c r="E19" s="20"/>
      <c r="F19" s="20"/>
      <c r="G19" s="20"/>
      <c r="H19" s="20"/>
      <c r="I19" s="20"/>
      <c r="J19" s="20"/>
      <c r="K19" s="20"/>
      <c r="L19" s="20"/>
      <c r="M19" s="20"/>
      <c r="N19" s="20"/>
      <c r="O19" s="20"/>
      <c r="P19" s="20"/>
      <c r="Q19" s="20"/>
      <c r="R19" s="20"/>
    </row>
    <row r="20" spans="1:18" x14ac:dyDescent="0.2">
      <c r="A20" s="20"/>
      <c r="B20" s="20"/>
      <c r="C20" s="20"/>
      <c r="D20" s="20"/>
      <c r="E20" s="20"/>
      <c r="F20" s="20" t="s">
        <v>189</v>
      </c>
      <c r="G20" s="20"/>
      <c r="H20" s="20"/>
      <c r="I20" s="20"/>
      <c r="J20" s="20"/>
      <c r="K20" s="20"/>
      <c r="L20" s="20"/>
      <c r="M20" s="20"/>
      <c r="N20" s="20"/>
      <c r="O20" s="20"/>
      <c r="P20" s="20"/>
      <c r="Q20" s="20"/>
      <c r="R20" s="20"/>
    </row>
    <row r="21" spans="1:18" x14ac:dyDescent="0.2">
      <c r="A21" s="20"/>
      <c r="B21" s="20"/>
      <c r="C21" s="20"/>
      <c r="D21" s="20"/>
      <c r="E21" s="20"/>
      <c r="F21" s="20"/>
      <c r="G21" s="20"/>
      <c r="H21" s="20"/>
      <c r="I21" s="20"/>
      <c r="J21" s="20"/>
      <c r="K21" s="20"/>
      <c r="L21" s="20"/>
      <c r="M21" s="20"/>
      <c r="N21" s="20"/>
      <c r="O21" s="20"/>
      <c r="P21" s="20"/>
      <c r="Q21" s="20"/>
      <c r="R21" s="20"/>
    </row>
    <row r="22" spans="1:18" x14ac:dyDescent="0.2">
      <c r="A22" s="20"/>
      <c r="B22" s="20"/>
      <c r="C22" s="20"/>
      <c r="D22" s="20"/>
      <c r="E22" s="20"/>
      <c r="F22" s="20"/>
      <c r="G22" s="20"/>
      <c r="H22" s="20"/>
      <c r="I22" s="20"/>
      <c r="J22" s="20"/>
      <c r="K22" s="20"/>
      <c r="L22" s="20"/>
      <c r="M22" s="20"/>
      <c r="N22" s="20"/>
      <c r="O22" s="20"/>
      <c r="P22" s="20"/>
      <c r="Q22" s="20"/>
      <c r="R22" s="20"/>
    </row>
    <row r="23" spans="1:18" x14ac:dyDescent="0.2">
      <c r="A23" s="20"/>
      <c r="B23" s="20"/>
      <c r="C23" s="20"/>
      <c r="D23" s="20"/>
      <c r="E23" s="20"/>
      <c r="F23" s="20"/>
      <c r="G23" s="20"/>
      <c r="H23" s="20"/>
      <c r="I23" s="20"/>
      <c r="J23" s="20"/>
      <c r="K23" s="20"/>
      <c r="L23" s="20"/>
      <c r="M23" s="20"/>
      <c r="N23" s="20"/>
      <c r="O23" s="20"/>
      <c r="P23" s="20"/>
      <c r="Q23" s="20"/>
      <c r="R23" s="20"/>
    </row>
    <row r="24" spans="1:18" x14ac:dyDescent="0.2">
      <c r="A24" s="20"/>
      <c r="B24" s="20"/>
      <c r="C24" s="20"/>
      <c r="D24" s="20"/>
      <c r="E24" s="20"/>
      <c r="F24" s="20"/>
      <c r="G24" s="20"/>
      <c r="H24" s="20"/>
      <c r="I24" s="20"/>
      <c r="J24" s="20"/>
      <c r="K24" s="20"/>
      <c r="L24" s="20"/>
      <c r="M24" s="20"/>
      <c r="N24" s="20"/>
      <c r="O24" s="20"/>
      <c r="P24" s="20"/>
      <c r="Q24" s="20"/>
      <c r="R24" s="20"/>
    </row>
    <row r="25" spans="1:18" x14ac:dyDescent="0.2">
      <c r="A25" s="20"/>
      <c r="B25" s="20"/>
      <c r="C25" s="20" t="s">
        <v>189</v>
      </c>
      <c r="D25" s="20"/>
      <c r="E25" s="20"/>
      <c r="F25" s="20"/>
      <c r="G25" s="20"/>
      <c r="H25" s="20"/>
      <c r="I25" s="20"/>
      <c r="J25" s="20"/>
      <c r="K25" s="20"/>
      <c r="L25" s="20"/>
      <c r="M25" s="20"/>
      <c r="N25" s="20"/>
      <c r="O25" s="20"/>
      <c r="P25" s="20"/>
      <c r="Q25" s="20"/>
      <c r="R25" s="20"/>
    </row>
    <row r="26" spans="1:18" x14ac:dyDescent="0.2">
      <c r="A26" s="20"/>
      <c r="B26" s="20"/>
      <c r="C26" s="20"/>
      <c r="D26" s="20"/>
      <c r="E26" s="20"/>
      <c r="F26" s="20"/>
      <c r="G26" s="20"/>
      <c r="H26" s="20"/>
      <c r="I26" s="20"/>
      <c r="J26" s="20"/>
      <c r="K26" s="20"/>
      <c r="L26" s="20"/>
      <c r="M26" s="20"/>
      <c r="N26" s="20"/>
      <c r="O26" s="20"/>
      <c r="P26" s="20"/>
      <c r="Q26" s="20"/>
      <c r="R26" s="20"/>
    </row>
    <row r="27" spans="1:18" x14ac:dyDescent="0.2">
      <c r="A27" s="20"/>
      <c r="B27" s="78"/>
      <c r="C27" s="78"/>
      <c r="D27" s="78"/>
      <c r="E27" s="78"/>
      <c r="F27" s="78"/>
      <c r="G27" s="20"/>
      <c r="H27" s="20"/>
      <c r="I27" s="20"/>
      <c r="J27" s="20"/>
      <c r="K27" s="20"/>
      <c r="L27" s="20"/>
      <c r="M27" s="20"/>
      <c r="N27" s="20"/>
      <c r="O27" s="20"/>
      <c r="P27" s="20"/>
      <c r="Q27" s="20"/>
      <c r="R27" s="20"/>
    </row>
    <row r="28" spans="1:18" x14ac:dyDescent="0.2">
      <c r="A28" s="78"/>
      <c r="B28" s="20"/>
      <c r="C28" s="20"/>
      <c r="D28" s="20"/>
      <c r="E28" s="20"/>
      <c r="F28" s="20"/>
      <c r="G28" s="78"/>
      <c r="H28" s="78"/>
      <c r="I28" s="78"/>
      <c r="J28" s="78"/>
      <c r="K28" s="78"/>
      <c r="L28" s="78"/>
      <c r="M28" s="78"/>
      <c r="N28" s="78"/>
      <c r="O28" s="20"/>
      <c r="P28" s="20"/>
      <c r="Q28" s="20"/>
      <c r="R28" s="20"/>
    </row>
    <row r="29" spans="1:18" x14ac:dyDescent="0.2">
      <c r="A29" s="20"/>
      <c r="B29" s="20"/>
      <c r="C29" s="20"/>
      <c r="D29" s="20"/>
      <c r="E29" s="20"/>
      <c r="F29" s="20"/>
      <c r="G29" s="20"/>
      <c r="H29" s="20"/>
      <c r="I29" s="20"/>
      <c r="J29" s="20"/>
      <c r="K29" s="20"/>
      <c r="L29" s="20"/>
      <c r="M29" s="20"/>
      <c r="N29" s="20"/>
      <c r="O29" s="20"/>
      <c r="P29" s="20"/>
      <c r="Q29" s="20"/>
      <c r="R29" s="20"/>
    </row>
    <row r="30" spans="1:18" x14ac:dyDescent="0.2">
      <c r="A30" s="20"/>
      <c r="B30" s="20"/>
      <c r="C30" s="20"/>
      <c r="D30" s="20"/>
      <c r="E30" s="20"/>
      <c r="F30" s="20"/>
      <c r="G30" s="20"/>
      <c r="H30" s="20"/>
      <c r="I30" s="20"/>
      <c r="J30" s="20"/>
      <c r="K30" s="20"/>
      <c r="L30" s="20"/>
      <c r="M30" s="20"/>
      <c r="N30" s="20"/>
      <c r="O30" s="20"/>
      <c r="P30" s="20"/>
      <c r="Q30" s="20"/>
      <c r="R30" s="20"/>
    </row>
    <row r="31" spans="1:18" x14ac:dyDescent="0.2">
      <c r="A31" s="20"/>
      <c r="B31" s="20"/>
      <c r="C31" s="20"/>
      <c r="D31" s="20"/>
      <c r="E31" s="20"/>
      <c r="F31" s="20"/>
      <c r="G31" s="20"/>
      <c r="H31" s="20"/>
      <c r="I31" s="20"/>
      <c r="J31" s="20"/>
      <c r="K31" s="20"/>
      <c r="L31" s="20"/>
      <c r="M31" s="20"/>
      <c r="N31" s="20"/>
      <c r="O31" s="20"/>
      <c r="P31" s="20"/>
      <c r="Q31" s="20"/>
      <c r="R31" s="20"/>
    </row>
    <row r="32" spans="1:18" x14ac:dyDescent="0.2">
      <c r="A32" s="20"/>
      <c r="B32" s="20"/>
      <c r="C32" s="20"/>
      <c r="D32" s="20"/>
      <c r="E32" s="20"/>
      <c r="F32" s="20"/>
      <c r="G32" s="20"/>
      <c r="H32" s="20"/>
      <c r="I32" s="20"/>
      <c r="J32" s="20"/>
      <c r="K32" s="20"/>
      <c r="L32" s="20"/>
      <c r="M32" s="20"/>
      <c r="N32" s="20"/>
      <c r="O32" s="20"/>
      <c r="P32" s="20"/>
      <c r="Q32" s="20"/>
      <c r="R32" s="20"/>
    </row>
    <row r="33" spans="1:18" x14ac:dyDescent="0.2">
      <c r="A33" s="20"/>
      <c r="B33" s="20"/>
      <c r="C33" s="20"/>
      <c r="D33" s="20"/>
      <c r="E33" s="20"/>
      <c r="F33" s="20"/>
      <c r="G33" s="20"/>
      <c r="H33" s="20"/>
      <c r="I33" s="20"/>
      <c r="J33" s="20"/>
      <c r="K33" s="20"/>
      <c r="L33" s="20"/>
      <c r="M33" s="20"/>
      <c r="N33" s="20"/>
      <c r="O33" s="20"/>
      <c r="P33" s="20"/>
      <c r="Q33" s="20"/>
      <c r="R33" s="20"/>
    </row>
    <row r="34" spans="1:18" x14ac:dyDescent="0.2">
      <c r="A34" s="20"/>
      <c r="B34" s="20"/>
      <c r="C34" s="20"/>
      <c r="D34" s="20"/>
      <c r="E34" s="20"/>
      <c r="F34" s="20"/>
      <c r="G34" s="20"/>
      <c r="H34" s="20"/>
      <c r="I34" s="20"/>
      <c r="J34" s="20"/>
      <c r="K34" s="20"/>
      <c r="L34" s="20"/>
      <c r="M34" s="20"/>
      <c r="N34" s="20"/>
      <c r="O34" s="20"/>
      <c r="P34" s="20"/>
      <c r="Q34" s="20"/>
      <c r="R34" s="20"/>
    </row>
    <row r="35" spans="1:18" x14ac:dyDescent="0.2">
      <c r="A35" s="20"/>
      <c r="B35" s="20"/>
      <c r="C35" s="20"/>
      <c r="D35" s="20"/>
      <c r="E35" s="20"/>
      <c r="F35" s="20"/>
      <c r="G35" s="20"/>
      <c r="H35" s="20"/>
      <c r="I35" s="20"/>
      <c r="J35" s="20"/>
      <c r="K35" s="20"/>
      <c r="L35" s="20"/>
      <c r="M35" s="20"/>
      <c r="N35" s="20"/>
      <c r="O35" s="20"/>
      <c r="P35" s="20"/>
      <c r="Q35" s="20"/>
      <c r="R35" s="20"/>
    </row>
    <row r="36" spans="1:18" x14ac:dyDescent="0.2">
      <c r="A36" s="20"/>
      <c r="B36" s="20"/>
      <c r="C36" s="20"/>
      <c r="D36" s="20"/>
      <c r="E36" s="20"/>
      <c r="F36" s="20"/>
      <c r="G36" s="20"/>
      <c r="H36" s="20"/>
      <c r="I36" s="20"/>
      <c r="J36" s="20"/>
      <c r="K36" s="20"/>
      <c r="L36" s="20"/>
      <c r="M36" s="20"/>
      <c r="N36" s="20"/>
      <c r="O36" s="20"/>
      <c r="P36" s="20"/>
      <c r="Q36" s="20"/>
      <c r="R36" s="20"/>
    </row>
    <row r="37" spans="1:18" x14ac:dyDescent="0.2">
      <c r="A37" s="20"/>
      <c r="G37" s="20"/>
      <c r="H37" s="20"/>
      <c r="I37" s="20"/>
      <c r="J37" s="20"/>
      <c r="K37" s="20"/>
      <c r="L37" s="20"/>
      <c r="M37" s="20"/>
      <c r="N37" s="20"/>
      <c r="O37" s="20"/>
      <c r="P37" s="20"/>
      <c r="Q37" s="20"/>
      <c r="R37" s="20"/>
    </row>
  </sheetData>
  <sheetProtection sheet="1" objects="1" scenarios="1"/>
  <mergeCells count="2">
    <mergeCell ref="A1:F1"/>
    <mergeCell ref="A2:F2"/>
  </mergeCells>
  <phoneticPr fontId="0" type="noConversion"/>
  <pageMargins left="0.75" right="0.75" top="1" bottom="1" header="0.5" footer="0.5"/>
  <pageSetup paperSize="9" orientation="landscape" horizontalDpi="4294967293" verticalDpi="196" r:id="rId1"/>
  <headerFooter alignWithMargins="0">
    <oddHeader>&amp;A</oddHeader>
    <oddFooter>Page &amp;P</oddFooter>
  </headerFooter>
  <drawing r:id="rId2"/>
  <legacy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H1"/>
  <sheetViews>
    <sheetView workbookViewId="0">
      <selection activeCell="H1" sqref="H1"/>
    </sheetView>
  </sheetViews>
  <sheetFormatPr defaultRowHeight="12.75" x14ac:dyDescent="0.2"/>
  <sheetData>
    <row r="1" spans="8:8" x14ac:dyDescent="0.2">
      <c r="H1" t="s">
        <v>190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Sheet2</vt:lpstr>
      <vt:lpstr>Sheet3</vt:lpstr>
      <vt:lpstr>Sheet4</vt:lpstr>
      <vt:lpstr>Sheet5</vt:lpstr>
      <vt:lpstr>Sheet6</vt:lpstr>
      <vt:lpstr>Report</vt:lpstr>
      <vt:lpstr>Data Entry</vt:lpstr>
      <vt:lpstr>Sheet10</vt:lpstr>
    </vt:vector>
  </TitlesOfParts>
  <Company>e.k.o.</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Pool Users</dc:creator>
  <cp:lastModifiedBy>Vasileiadis Christos</cp:lastModifiedBy>
  <cp:lastPrinted>2019-03-01T08:45:49Z</cp:lastPrinted>
  <dcterms:created xsi:type="dcterms:W3CDTF">2000-04-13T11:49:15Z</dcterms:created>
  <dcterms:modified xsi:type="dcterms:W3CDTF">2019-03-15T10:06:45Z</dcterms:modified>
</cp:coreProperties>
</file>